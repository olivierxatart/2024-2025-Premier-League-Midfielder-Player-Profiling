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/>
  <mc:AlternateContent xmlns:mc="http://schemas.openxmlformats.org/markup-compatibility/2006">
    <mc:Choice Requires="x15">
      <x15ac:absPath xmlns:x15ac="http://schemas.microsoft.com/office/spreadsheetml/2010/11/ac" url="/Users/olivierxatart/Desktop/PlayerProfilingProject/"/>
    </mc:Choice>
  </mc:AlternateContent>
  <xr:revisionPtr revIDLastSave="0" documentId="13_ncr:1_{B36C3AA4-A866-D04B-92B9-180320C33339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2" i="1"/>
  <c r="T23" i="1"/>
  <c r="Z23" i="1" s="1"/>
  <c r="T24" i="1"/>
  <c r="Z24" i="1" s="1"/>
  <c r="T25" i="1"/>
  <c r="Z25" i="1" s="1"/>
  <c r="T26" i="1"/>
  <c r="Z26" i="1" s="1"/>
  <c r="T27" i="1"/>
  <c r="Z27" i="1" s="1"/>
  <c r="T28" i="1"/>
  <c r="Z28" i="1" s="1"/>
  <c r="T29" i="1"/>
  <c r="Z29" i="1" s="1"/>
  <c r="T30" i="1"/>
  <c r="Z30" i="1" s="1"/>
  <c r="T31" i="1"/>
  <c r="Z31" i="1" s="1"/>
  <c r="T32" i="1"/>
  <c r="Z32" i="1" s="1"/>
  <c r="T33" i="1"/>
  <c r="Z33" i="1" s="1"/>
  <c r="T34" i="1"/>
  <c r="Z34" i="1" s="1"/>
  <c r="T35" i="1"/>
  <c r="Z35" i="1" s="1"/>
  <c r="T36" i="1"/>
  <c r="Z36" i="1" s="1"/>
  <c r="T37" i="1"/>
  <c r="Z37" i="1" s="1"/>
  <c r="T38" i="1"/>
  <c r="Z38" i="1" s="1"/>
  <c r="T39" i="1"/>
  <c r="Z39" i="1" s="1"/>
  <c r="T40" i="1"/>
  <c r="Z40" i="1" s="1"/>
  <c r="T41" i="1"/>
  <c r="Z41" i="1" s="1"/>
  <c r="T42" i="1"/>
  <c r="Z42" i="1" s="1"/>
  <c r="T43" i="1"/>
  <c r="Z43" i="1" s="1"/>
  <c r="T44" i="1"/>
  <c r="Z44" i="1" s="1"/>
  <c r="T45" i="1"/>
  <c r="Z45" i="1" s="1"/>
  <c r="T46" i="1"/>
  <c r="Z46" i="1" s="1"/>
  <c r="T47" i="1"/>
  <c r="Z47" i="1" s="1"/>
  <c r="T48" i="1"/>
  <c r="Z48" i="1" s="1"/>
  <c r="T49" i="1"/>
  <c r="Z49" i="1" s="1"/>
  <c r="T50" i="1"/>
  <c r="Z50" i="1" s="1"/>
  <c r="T51" i="1"/>
  <c r="Z51" i="1" s="1"/>
  <c r="T52" i="1"/>
  <c r="Z52" i="1" s="1"/>
  <c r="T53" i="1"/>
  <c r="Z53" i="1" s="1"/>
  <c r="T54" i="1"/>
  <c r="Z54" i="1" s="1"/>
  <c r="T55" i="1"/>
  <c r="Z55" i="1" s="1"/>
  <c r="T56" i="1"/>
  <c r="Z56" i="1" s="1"/>
  <c r="T57" i="1"/>
  <c r="Z57" i="1" s="1"/>
  <c r="T58" i="1"/>
  <c r="Z58" i="1" s="1"/>
  <c r="T59" i="1"/>
  <c r="Z59" i="1" s="1"/>
  <c r="T60" i="1"/>
  <c r="Z60" i="1" s="1"/>
  <c r="T61" i="1"/>
  <c r="Z61" i="1" s="1"/>
  <c r="T62" i="1"/>
  <c r="Z62" i="1" s="1"/>
  <c r="T63" i="1"/>
  <c r="Z63" i="1" s="1"/>
  <c r="T64" i="1"/>
  <c r="Z64" i="1" s="1"/>
  <c r="T65" i="1"/>
  <c r="Z65" i="1" s="1"/>
  <c r="T66" i="1"/>
  <c r="Z66" i="1" s="1"/>
  <c r="T67" i="1"/>
  <c r="Z67" i="1" s="1"/>
  <c r="T68" i="1"/>
  <c r="Z68" i="1" s="1"/>
  <c r="T69" i="1"/>
  <c r="Z69" i="1" s="1"/>
  <c r="T70" i="1"/>
  <c r="Z70" i="1" s="1"/>
  <c r="T71" i="1"/>
  <c r="Z71" i="1" s="1"/>
  <c r="T72" i="1"/>
  <c r="Z72" i="1" s="1"/>
  <c r="T73" i="1"/>
  <c r="Z73" i="1" s="1"/>
  <c r="T74" i="1"/>
  <c r="Z74" i="1" s="1"/>
  <c r="T75" i="1"/>
  <c r="Z75" i="1" s="1"/>
  <c r="T76" i="1"/>
  <c r="Z76" i="1" s="1"/>
  <c r="T77" i="1"/>
  <c r="Z77" i="1" s="1"/>
  <c r="T78" i="1"/>
  <c r="Z78" i="1" s="1"/>
  <c r="T79" i="1"/>
  <c r="Z79" i="1" s="1"/>
  <c r="T80" i="1"/>
  <c r="Z80" i="1" s="1"/>
  <c r="T81" i="1"/>
  <c r="Z81" i="1" s="1"/>
  <c r="T82" i="1"/>
  <c r="Z82" i="1" s="1"/>
  <c r="T83" i="1"/>
  <c r="Z83" i="1" s="1"/>
  <c r="T84" i="1"/>
  <c r="Z84" i="1" s="1"/>
  <c r="T85" i="1"/>
  <c r="Z85" i="1" s="1"/>
  <c r="T86" i="1"/>
  <c r="Z86" i="1" s="1"/>
  <c r="T87" i="1"/>
  <c r="Z87" i="1" s="1"/>
  <c r="T88" i="1"/>
  <c r="Z88" i="1" s="1"/>
  <c r="T89" i="1"/>
  <c r="Z89" i="1" s="1"/>
  <c r="T90" i="1"/>
  <c r="Z90" i="1" s="1"/>
  <c r="T91" i="1"/>
  <c r="Z91" i="1" s="1"/>
  <c r="T92" i="1"/>
  <c r="Z92" i="1" s="1"/>
  <c r="T93" i="1"/>
  <c r="Z93" i="1" s="1"/>
  <c r="T94" i="1"/>
  <c r="Z94" i="1" s="1"/>
  <c r="T95" i="1"/>
  <c r="Z95" i="1" s="1"/>
  <c r="T96" i="1"/>
  <c r="Z96" i="1" s="1"/>
  <c r="T97" i="1"/>
  <c r="Z97" i="1" s="1"/>
  <c r="T98" i="1"/>
  <c r="Z98" i="1" s="1"/>
  <c r="T99" i="1"/>
  <c r="Z99" i="1" s="1"/>
  <c r="T100" i="1"/>
  <c r="Z100" i="1" s="1"/>
  <c r="T101" i="1"/>
  <c r="Z101" i="1" s="1"/>
  <c r="T102" i="1"/>
  <c r="Z102" i="1" s="1"/>
  <c r="T103" i="1"/>
  <c r="Z103" i="1" s="1"/>
  <c r="T104" i="1"/>
  <c r="Z104" i="1" s="1"/>
  <c r="T105" i="1"/>
  <c r="Z105" i="1" s="1"/>
  <c r="T106" i="1"/>
  <c r="Z106" i="1" s="1"/>
  <c r="T107" i="1"/>
  <c r="Z107" i="1" s="1"/>
  <c r="T108" i="1"/>
  <c r="Z108" i="1" s="1"/>
  <c r="T109" i="1"/>
  <c r="Z109" i="1" s="1"/>
  <c r="T110" i="1"/>
  <c r="Z110" i="1" s="1"/>
  <c r="T4" i="1"/>
  <c r="Z4" i="1" s="1"/>
  <c r="T5" i="1"/>
  <c r="Z5" i="1" s="1"/>
  <c r="T6" i="1"/>
  <c r="Z6" i="1" s="1"/>
  <c r="T7" i="1"/>
  <c r="Z7" i="1" s="1"/>
  <c r="T8" i="1"/>
  <c r="Z8" i="1" s="1"/>
  <c r="T9" i="1"/>
  <c r="Z9" i="1" s="1"/>
  <c r="T10" i="1"/>
  <c r="Z10" i="1" s="1"/>
  <c r="T11" i="1"/>
  <c r="Z11" i="1" s="1"/>
  <c r="T12" i="1"/>
  <c r="Z12" i="1" s="1"/>
  <c r="T13" i="1"/>
  <c r="Z13" i="1" s="1"/>
  <c r="T14" i="1"/>
  <c r="Z14" i="1" s="1"/>
  <c r="T15" i="1"/>
  <c r="Z15" i="1" s="1"/>
  <c r="T16" i="1"/>
  <c r="Z16" i="1" s="1"/>
  <c r="T17" i="1"/>
  <c r="Z17" i="1" s="1"/>
  <c r="T18" i="1"/>
  <c r="Z18" i="1" s="1"/>
  <c r="T19" i="1"/>
  <c r="Z19" i="1" s="1"/>
  <c r="T20" i="1"/>
  <c r="Z20" i="1" s="1"/>
  <c r="T21" i="1"/>
  <c r="Z21" i="1" s="1"/>
  <c r="T22" i="1"/>
  <c r="Z22" i="1" s="1"/>
  <c r="T3" i="1"/>
  <c r="Z3" i="1" s="1"/>
  <c r="T2" i="1"/>
  <c r="Z2" i="1" s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2" i="1"/>
  <c r="E66" i="1"/>
  <c r="AF66" i="1" s="1"/>
  <c r="E67" i="1"/>
  <c r="AF67" i="1" s="1"/>
  <c r="E68" i="1"/>
  <c r="AF68" i="1" s="1"/>
  <c r="E69" i="1"/>
  <c r="AF69" i="1" s="1"/>
  <c r="E70" i="1"/>
  <c r="AF70" i="1" s="1"/>
  <c r="E65" i="1"/>
  <c r="AF65" i="1" s="1"/>
  <c r="P22" i="1"/>
  <c r="N62" i="1"/>
  <c r="AG110" i="1"/>
  <c r="V110" i="1"/>
  <c r="AG109" i="1"/>
  <c r="V109" i="1"/>
  <c r="AG108" i="1"/>
  <c r="V108" i="1"/>
  <c r="AG107" i="1"/>
  <c r="V107" i="1"/>
  <c r="AG106" i="1"/>
  <c r="V106" i="1"/>
  <c r="AG105" i="1"/>
  <c r="V105" i="1"/>
  <c r="AG104" i="1"/>
  <c r="V104" i="1"/>
  <c r="AG103" i="1"/>
  <c r="V103" i="1"/>
  <c r="AG102" i="1"/>
  <c r="V102" i="1"/>
  <c r="AG101" i="1"/>
  <c r="V101" i="1"/>
  <c r="AG100" i="1"/>
  <c r="V100" i="1"/>
  <c r="AG99" i="1"/>
  <c r="V99" i="1"/>
  <c r="P3" i="1"/>
  <c r="P4" i="1"/>
  <c r="N5" i="1"/>
  <c r="N6" i="1"/>
  <c r="N7" i="1"/>
  <c r="P8" i="1"/>
  <c r="N9" i="1"/>
  <c r="N10" i="1"/>
  <c r="P11" i="1"/>
  <c r="P12" i="1"/>
  <c r="N13" i="1"/>
  <c r="N14" i="1"/>
  <c r="N15" i="1"/>
  <c r="N16" i="1"/>
  <c r="N17" i="1"/>
  <c r="N18" i="1"/>
  <c r="P19" i="1"/>
  <c r="P20" i="1"/>
  <c r="P21" i="1"/>
  <c r="N22" i="1"/>
  <c r="N23" i="1"/>
  <c r="N24" i="1"/>
  <c r="P25" i="1"/>
  <c r="N26" i="1"/>
  <c r="P27" i="1"/>
  <c r="P28" i="1"/>
  <c r="N29" i="1"/>
  <c r="P30" i="1"/>
  <c r="N31" i="1"/>
  <c r="P32" i="1"/>
  <c r="N33" i="1"/>
  <c r="N34" i="1"/>
  <c r="P35" i="1"/>
  <c r="P36" i="1"/>
  <c r="P37" i="1"/>
  <c r="P38" i="1"/>
  <c r="N39" i="1"/>
  <c r="N40" i="1"/>
  <c r="N41" i="1"/>
  <c r="N42" i="1"/>
  <c r="P43" i="1"/>
  <c r="P44" i="1"/>
  <c r="P45" i="1"/>
  <c r="N46" i="1"/>
  <c r="N47" i="1"/>
  <c r="N48" i="1"/>
  <c r="P49" i="1"/>
  <c r="N50" i="1"/>
  <c r="P51" i="1"/>
  <c r="P52" i="1"/>
  <c r="P53" i="1"/>
  <c r="N54" i="1"/>
  <c r="N55" i="1"/>
  <c r="N56" i="1"/>
  <c r="N57" i="1"/>
  <c r="N58" i="1"/>
  <c r="P59" i="1"/>
  <c r="P60" i="1"/>
  <c r="P61" i="1"/>
  <c r="P62" i="1"/>
  <c r="N63" i="1"/>
  <c r="N64" i="1"/>
  <c r="N65" i="1"/>
  <c r="N66" i="1"/>
  <c r="P67" i="1"/>
  <c r="P68" i="1"/>
  <c r="P69" i="1"/>
  <c r="P70" i="1"/>
  <c r="N71" i="1"/>
  <c r="N72" i="1"/>
  <c r="N73" i="1"/>
  <c r="N74" i="1"/>
  <c r="P75" i="1"/>
  <c r="P76" i="1"/>
  <c r="P77" i="1"/>
  <c r="N78" i="1"/>
  <c r="N79" i="1"/>
  <c r="P80" i="1"/>
  <c r="N81" i="1"/>
  <c r="N82" i="1"/>
  <c r="P83" i="1"/>
  <c r="P84" i="1"/>
  <c r="P85" i="1"/>
  <c r="P86" i="1"/>
  <c r="N87" i="1"/>
  <c r="N88" i="1"/>
  <c r="P89" i="1"/>
  <c r="N90" i="1"/>
  <c r="P91" i="1"/>
  <c r="P92" i="1"/>
  <c r="P93" i="1"/>
  <c r="N94" i="1"/>
  <c r="N95" i="1"/>
  <c r="N96" i="1"/>
  <c r="N97" i="1"/>
  <c r="N98" i="1"/>
  <c r="P99" i="1"/>
  <c r="P100" i="1"/>
  <c r="P101" i="1"/>
  <c r="P102" i="1"/>
  <c r="N103" i="1"/>
  <c r="N104" i="1"/>
  <c r="N105" i="1"/>
  <c r="N106" i="1"/>
  <c r="P107" i="1"/>
  <c r="P108" i="1"/>
  <c r="P109" i="1"/>
  <c r="P110" i="1"/>
  <c r="P2" i="1"/>
  <c r="AG98" i="1"/>
  <c r="V98" i="1"/>
  <c r="AG97" i="1"/>
  <c r="V97" i="1"/>
  <c r="AG96" i="1"/>
  <c r="V96" i="1"/>
  <c r="AG95" i="1"/>
  <c r="V95" i="1"/>
  <c r="AG94" i="1"/>
  <c r="V94" i="1"/>
  <c r="AG93" i="1"/>
  <c r="V93" i="1"/>
  <c r="AG92" i="1"/>
  <c r="V92" i="1"/>
  <c r="AG91" i="1"/>
  <c r="V91" i="1"/>
  <c r="AG90" i="1"/>
  <c r="V90" i="1"/>
  <c r="AG89" i="1"/>
  <c r="V89" i="1"/>
  <c r="AG88" i="1"/>
  <c r="V88" i="1"/>
  <c r="AG87" i="1"/>
  <c r="V87" i="1"/>
  <c r="AG86" i="1"/>
  <c r="V86" i="1"/>
  <c r="AG85" i="1"/>
  <c r="V85" i="1"/>
  <c r="AG84" i="1"/>
  <c r="V84" i="1"/>
  <c r="AG83" i="1"/>
  <c r="V83" i="1"/>
  <c r="AG82" i="1"/>
  <c r="V82" i="1"/>
  <c r="AG81" i="1"/>
  <c r="V81" i="1"/>
  <c r="AG80" i="1"/>
  <c r="V80" i="1"/>
  <c r="AG79" i="1"/>
  <c r="V79" i="1"/>
  <c r="U92" i="1" l="1"/>
  <c r="U84" i="1"/>
  <c r="U109" i="1"/>
  <c r="U108" i="1"/>
  <c r="U53" i="1"/>
  <c r="U44" i="1"/>
  <c r="U69" i="1"/>
  <c r="U96" i="1"/>
  <c r="U82" i="1"/>
  <c r="U57" i="1"/>
  <c r="U106" i="1"/>
  <c r="U93" i="1"/>
  <c r="U81" i="1"/>
  <c r="U68" i="1"/>
  <c r="U56" i="1"/>
  <c r="U42" i="1"/>
  <c r="U29" i="1"/>
  <c r="U28" i="1"/>
  <c r="U105" i="1"/>
  <c r="U80" i="1"/>
  <c r="U66" i="1"/>
  <c r="U104" i="1"/>
  <c r="U90" i="1"/>
  <c r="U77" i="1"/>
  <c r="U65" i="1"/>
  <c r="U52" i="1"/>
  <c r="U40" i="1"/>
  <c r="U26" i="1"/>
  <c r="U97" i="1"/>
  <c r="U41" i="1"/>
  <c r="U101" i="1"/>
  <c r="U89" i="1"/>
  <c r="U76" i="1"/>
  <c r="U64" i="1"/>
  <c r="U50" i="1"/>
  <c r="U37" i="1"/>
  <c r="U25" i="1"/>
  <c r="U100" i="1"/>
  <c r="U88" i="1"/>
  <c r="U74" i="1"/>
  <c r="U61" i="1"/>
  <c r="U49" i="1"/>
  <c r="U36" i="1"/>
  <c r="U24" i="1"/>
  <c r="U98" i="1"/>
  <c r="U85" i="1"/>
  <c r="U73" i="1"/>
  <c r="U60" i="1"/>
  <c r="U48" i="1"/>
  <c r="U34" i="1"/>
  <c r="U21" i="1"/>
  <c r="U72" i="1"/>
  <c r="U58" i="1"/>
  <c r="U45" i="1"/>
  <c r="U33" i="1"/>
  <c r="U13" i="1"/>
  <c r="U32" i="1"/>
  <c r="U17" i="1"/>
  <c r="U9" i="1"/>
  <c r="U8" i="1"/>
  <c r="U7" i="1"/>
  <c r="U16" i="1"/>
  <c r="U2" i="1"/>
  <c r="U103" i="1"/>
  <c r="U95" i="1"/>
  <c r="U87" i="1"/>
  <c r="U79" i="1"/>
  <c r="U71" i="1"/>
  <c r="U63" i="1"/>
  <c r="U55" i="1"/>
  <c r="U47" i="1"/>
  <c r="U39" i="1"/>
  <c r="U31" i="1"/>
  <c r="U23" i="1"/>
  <c r="U15" i="1"/>
  <c r="U110" i="1"/>
  <c r="U102" i="1"/>
  <c r="U94" i="1"/>
  <c r="U86" i="1"/>
  <c r="U78" i="1"/>
  <c r="U70" i="1"/>
  <c r="U62" i="1"/>
  <c r="U54" i="1"/>
  <c r="U46" i="1"/>
  <c r="U38" i="1"/>
  <c r="U30" i="1"/>
  <c r="U22" i="1"/>
  <c r="U14" i="1"/>
  <c r="U6" i="1"/>
  <c r="U5" i="1"/>
  <c r="U12" i="1"/>
  <c r="U4" i="1"/>
  <c r="U107" i="1"/>
  <c r="U99" i="1"/>
  <c r="U91" i="1"/>
  <c r="U83" i="1"/>
  <c r="U75" i="1"/>
  <c r="U67" i="1"/>
  <c r="U59" i="1"/>
  <c r="U51" i="1"/>
  <c r="U43" i="1"/>
  <c r="U35" i="1"/>
  <c r="U27" i="1"/>
  <c r="U19" i="1"/>
  <c r="U11" i="1"/>
  <c r="U3" i="1"/>
  <c r="U20" i="1"/>
  <c r="U18" i="1"/>
  <c r="U10" i="1"/>
  <c r="N86" i="1"/>
  <c r="P23" i="1"/>
  <c r="P78" i="1"/>
  <c r="P79" i="1"/>
  <c r="N44" i="1"/>
  <c r="N38" i="1"/>
  <c r="P6" i="1"/>
  <c r="P5" i="1"/>
  <c r="P29" i="1"/>
  <c r="N85" i="1"/>
  <c r="N84" i="1"/>
  <c r="N68" i="1"/>
  <c r="P46" i="1"/>
  <c r="N37" i="1"/>
  <c r="N109" i="1"/>
  <c r="N108" i="1"/>
  <c r="N102" i="1"/>
  <c r="N61" i="1"/>
  <c r="N21" i="1"/>
  <c r="N101" i="1"/>
  <c r="N60" i="1"/>
  <c r="N20" i="1"/>
  <c r="P47" i="1"/>
  <c r="N36" i="1"/>
  <c r="N100" i="1"/>
  <c r="N45" i="1"/>
  <c r="N4" i="1"/>
  <c r="P54" i="1"/>
  <c r="P7" i="1"/>
  <c r="P31" i="1"/>
  <c r="P94" i="1"/>
  <c r="P55" i="1"/>
  <c r="P13" i="1"/>
  <c r="N76" i="1"/>
  <c r="N53" i="1"/>
  <c r="N30" i="1"/>
  <c r="N12" i="1"/>
  <c r="P14" i="1"/>
  <c r="P63" i="1"/>
  <c r="P95" i="1"/>
  <c r="P87" i="1"/>
  <c r="N93" i="1"/>
  <c r="N70" i="1"/>
  <c r="N52" i="1"/>
  <c r="P15" i="1"/>
  <c r="N77" i="1"/>
  <c r="N110" i="1"/>
  <c r="N92" i="1"/>
  <c r="N69" i="1"/>
  <c r="N28" i="1"/>
  <c r="P39" i="1"/>
  <c r="P71" i="1"/>
  <c r="P103" i="1"/>
  <c r="P96" i="1"/>
  <c r="P9" i="1"/>
  <c r="P41" i="1"/>
  <c r="P97" i="1"/>
  <c r="N107" i="1"/>
  <c r="N83" i="1"/>
  <c r="N67" i="1"/>
  <c r="N59" i="1"/>
  <c r="N51" i="1"/>
  <c r="N35" i="1"/>
  <c r="N27" i="1"/>
  <c r="N19" i="1"/>
  <c r="N11" i="1"/>
  <c r="N3" i="1"/>
  <c r="P10" i="1"/>
  <c r="P18" i="1"/>
  <c r="P26" i="1"/>
  <c r="P34" i="1"/>
  <c r="P42" i="1"/>
  <c r="P50" i="1"/>
  <c r="P58" i="1"/>
  <c r="P66" i="1"/>
  <c r="P74" i="1"/>
  <c r="P82" i="1"/>
  <c r="P90" i="1"/>
  <c r="P98" i="1"/>
  <c r="P106" i="1"/>
  <c r="P24" i="1"/>
  <c r="P88" i="1"/>
  <c r="P17" i="1"/>
  <c r="P33" i="1"/>
  <c r="P57" i="1"/>
  <c r="P65" i="1"/>
  <c r="P73" i="1"/>
  <c r="P81" i="1"/>
  <c r="P105" i="1"/>
  <c r="N99" i="1"/>
  <c r="N91" i="1"/>
  <c r="N75" i="1"/>
  <c r="N43" i="1"/>
  <c r="N89" i="1"/>
  <c r="N49" i="1"/>
  <c r="N25" i="1"/>
  <c r="P16" i="1"/>
  <c r="P40" i="1"/>
  <c r="P48" i="1"/>
  <c r="P56" i="1"/>
  <c r="P64" i="1"/>
  <c r="P72" i="1"/>
  <c r="P104" i="1"/>
  <c r="N80" i="1"/>
  <c r="N32" i="1"/>
  <c r="N8" i="1"/>
  <c r="N2" i="1"/>
  <c r="AG78" i="1"/>
  <c r="V78" i="1"/>
  <c r="AG77" i="1"/>
  <c r="V77" i="1"/>
  <c r="AG76" i="1"/>
  <c r="V76" i="1"/>
  <c r="AG75" i="1"/>
  <c r="V75" i="1"/>
  <c r="AG74" i="1"/>
  <c r="V74" i="1"/>
  <c r="AG73" i="1"/>
  <c r="V73" i="1"/>
  <c r="AG72" i="1"/>
  <c r="V72" i="1"/>
  <c r="AG71" i="1"/>
  <c r="V71" i="1"/>
  <c r="AG70" i="1"/>
  <c r="V70" i="1"/>
  <c r="AG69" i="1"/>
  <c r="V69" i="1"/>
  <c r="AG68" i="1"/>
  <c r="V68" i="1"/>
  <c r="AG67" i="1"/>
  <c r="V67" i="1"/>
  <c r="AG66" i="1"/>
  <c r="V66" i="1"/>
  <c r="AG65" i="1"/>
  <c r="V65" i="1"/>
  <c r="AG64" i="1"/>
  <c r="V64" i="1"/>
  <c r="AG63" i="1"/>
  <c r="V63" i="1"/>
  <c r="AG62" i="1"/>
  <c r="V62" i="1"/>
  <c r="AG61" i="1"/>
  <c r="V61" i="1"/>
  <c r="AG60" i="1"/>
  <c r="V60" i="1"/>
  <c r="AG59" i="1"/>
  <c r="V59" i="1"/>
  <c r="AG58" i="1"/>
  <c r="V58" i="1"/>
  <c r="AG57" i="1" l="1"/>
  <c r="V57" i="1"/>
  <c r="AG56" i="1"/>
  <c r="V56" i="1"/>
  <c r="AG55" i="1"/>
  <c r="V55" i="1"/>
  <c r="AG54" i="1"/>
  <c r="V54" i="1"/>
  <c r="AG53" i="1"/>
  <c r="V53" i="1"/>
  <c r="AG50" i="1"/>
  <c r="V50" i="1"/>
  <c r="AG49" i="1"/>
  <c r="V49" i="1"/>
  <c r="AG48" i="1"/>
  <c r="V48" i="1"/>
  <c r="AG51" i="1"/>
  <c r="V51" i="1"/>
  <c r="AG52" i="1"/>
  <c r="V52" i="1"/>
  <c r="AG47" i="1"/>
  <c r="V47" i="1"/>
  <c r="AG46" i="1"/>
  <c r="V46" i="1"/>
  <c r="AG45" i="1"/>
  <c r="V45" i="1"/>
  <c r="AG44" i="1"/>
  <c r="V44" i="1"/>
  <c r="AG43" i="1"/>
  <c r="V43" i="1"/>
  <c r="AG42" i="1"/>
  <c r="V42" i="1"/>
  <c r="AG41" i="1"/>
  <c r="V41" i="1"/>
  <c r="AG40" i="1"/>
  <c r="V40" i="1"/>
  <c r="AG39" i="1"/>
  <c r="V39" i="1"/>
  <c r="AG38" i="1"/>
  <c r="V38" i="1"/>
  <c r="AG37" i="1"/>
  <c r="V37" i="1"/>
  <c r="AG36" i="1"/>
  <c r="V36" i="1"/>
  <c r="AG35" i="1"/>
  <c r="V35" i="1"/>
  <c r="AG34" i="1"/>
  <c r="V34" i="1"/>
  <c r="AG33" i="1"/>
  <c r="V33" i="1"/>
  <c r="AG31" i="1"/>
  <c r="V31" i="1"/>
  <c r="AG30" i="1"/>
  <c r="V30" i="1"/>
  <c r="AG32" i="1"/>
  <c r="V32" i="1"/>
  <c r="AG29" i="1"/>
  <c r="V29" i="1"/>
  <c r="AG28" i="1"/>
  <c r="V28" i="1"/>
  <c r="AG27" i="1"/>
  <c r="V27" i="1"/>
  <c r="AG26" i="1"/>
  <c r="V26" i="1"/>
  <c r="AG25" i="1"/>
  <c r="V25" i="1"/>
  <c r="AG24" i="1"/>
  <c r="V24" i="1"/>
  <c r="AG23" i="1"/>
  <c r="V23" i="1"/>
  <c r="AG22" i="1"/>
  <c r="V22" i="1"/>
  <c r="AG21" i="1"/>
  <c r="V21" i="1"/>
  <c r="AG20" i="1"/>
  <c r="V20" i="1"/>
  <c r="AG19" i="1"/>
  <c r="AC19" i="1"/>
  <c r="V19" i="1"/>
  <c r="AG18" i="1"/>
  <c r="V18" i="1"/>
  <c r="AG17" i="1"/>
  <c r="V17" i="1"/>
  <c r="AG16" i="1"/>
  <c r="V16" i="1"/>
  <c r="AG15" i="1"/>
  <c r="V15" i="1"/>
  <c r="AG14" i="1"/>
  <c r="V14" i="1"/>
  <c r="AG13" i="1"/>
  <c r="V13" i="1"/>
  <c r="AG12" i="1"/>
  <c r="V12" i="1"/>
  <c r="AG11" i="1"/>
  <c r="V11" i="1"/>
  <c r="AG10" i="1"/>
  <c r="V10" i="1"/>
  <c r="AG5" i="1"/>
  <c r="V5" i="1"/>
  <c r="AG9" i="1"/>
  <c r="V9" i="1"/>
  <c r="AG8" i="1"/>
  <c r="V8" i="1"/>
  <c r="AG7" i="1"/>
  <c r="AH7" i="1"/>
  <c r="AG2" i="1"/>
  <c r="V3" i="1"/>
  <c r="AG3" i="1"/>
  <c r="V4" i="1"/>
  <c r="AG4" i="1"/>
  <c r="V6" i="1"/>
  <c r="AG6" i="1"/>
  <c r="V7" i="1"/>
</calcChain>
</file>

<file path=xl/sharedStrings.xml><?xml version="1.0" encoding="utf-8"?>
<sst xmlns="http://schemas.openxmlformats.org/spreadsheetml/2006/main" count="804" uniqueCount="302">
  <si>
    <t>Player Name</t>
  </si>
  <si>
    <t>Age</t>
  </si>
  <si>
    <t>Team</t>
  </si>
  <si>
    <t>Season</t>
  </si>
  <si>
    <t xml:space="preserve">League </t>
  </si>
  <si>
    <t>Position</t>
  </si>
  <si>
    <t>90s</t>
  </si>
  <si>
    <t>npxG</t>
  </si>
  <si>
    <t>Shots</t>
  </si>
  <si>
    <t xml:space="preserve">Passes Attempted </t>
  </si>
  <si>
    <t>Pass Completion %</t>
  </si>
  <si>
    <t>Average Pass Length</t>
  </si>
  <si>
    <t>Assists</t>
  </si>
  <si>
    <t>xAG</t>
  </si>
  <si>
    <t>Progressive Passes</t>
  </si>
  <si>
    <t>Tackle Completion %</t>
  </si>
  <si>
    <t>Blocks</t>
  </si>
  <si>
    <t>Aerial Duels Won</t>
  </si>
  <si>
    <t>Interceptions</t>
  </si>
  <si>
    <t>Touches</t>
  </si>
  <si>
    <t>Progressive Carries</t>
  </si>
  <si>
    <t>Tackles Won</t>
  </si>
  <si>
    <t>Moises Caicedo</t>
  </si>
  <si>
    <t>Chelsea</t>
  </si>
  <si>
    <t>2024/2025</t>
  </si>
  <si>
    <t>Premier League</t>
  </si>
  <si>
    <t>MF</t>
  </si>
  <si>
    <t>Enzo Fernandez</t>
  </si>
  <si>
    <t>Cole Palmer</t>
  </si>
  <si>
    <t>Ryan Gravenburch</t>
  </si>
  <si>
    <t>Liverpool</t>
  </si>
  <si>
    <t>Alexis Mac Allister</t>
  </si>
  <si>
    <t>Dominik Szoboszlai</t>
  </si>
  <si>
    <t>Curtis Jones</t>
  </si>
  <si>
    <t>Successful Take-On Percentage</t>
  </si>
  <si>
    <t>Romeo Lavia</t>
  </si>
  <si>
    <t>Mikel Merino</t>
  </si>
  <si>
    <t>Declan Rice</t>
  </si>
  <si>
    <t>Martin Odergaard</t>
  </si>
  <si>
    <t>Jorginho</t>
  </si>
  <si>
    <t>Thomas Partey</t>
  </si>
  <si>
    <t>Arsenal</t>
  </si>
  <si>
    <t>Bernardo Silva</t>
  </si>
  <si>
    <t>Phil Foden</t>
  </si>
  <si>
    <t>Kevin de Bruyne</t>
  </si>
  <si>
    <t xml:space="preserve">Ilkay Gundogan </t>
  </si>
  <si>
    <t>Mateo Kovacic</t>
  </si>
  <si>
    <t>Nicolas Gonzalez</t>
  </si>
  <si>
    <t>Manchester City</t>
  </si>
  <si>
    <t>Joelington</t>
  </si>
  <si>
    <t>Newcastle United</t>
  </si>
  <si>
    <t>Joe Willock</t>
  </si>
  <si>
    <t>Bruno Guinmaraes</t>
  </si>
  <si>
    <t>Sandro Tonali</t>
  </si>
  <si>
    <t>Sean Longstaff</t>
  </si>
  <si>
    <t>Jacob Ramsey</t>
  </si>
  <si>
    <t>John McGinn</t>
  </si>
  <si>
    <t>Youri Tielemans</t>
  </si>
  <si>
    <t>Boubacar Kamara</t>
  </si>
  <si>
    <t>Ross Barkley</t>
  </si>
  <si>
    <t>Lamare Bogarde</t>
  </si>
  <si>
    <t>Aston Villa</t>
  </si>
  <si>
    <t>Amadou Onana</t>
  </si>
  <si>
    <t>Nicolas Dominguez</t>
  </si>
  <si>
    <t>Nottingham Forest</t>
  </si>
  <si>
    <t>Morgan Gibbs-White</t>
  </si>
  <si>
    <t>Elliot Anderson</t>
  </si>
  <si>
    <t>Ryan Yates</t>
  </si>
  <si>
    <t>Ibrahim Sangare</t>
  </si>
  <si>
    <t>Brighton</t>
  </si>
  <si>
    <t>Carlos Baleba</t>
  </si>
  <si>
    <t>Yasin Ayari</t>
  </si>
  <si>
    <t>Matt O'Riley</t>
  </si>
  <si>
    <t>Diego Gomez</t>
  </si>
  <si>
    <t>Max Wieffer</t>
  </si>
  <si>
    <t>Bournemouth</t>
  </si>
  <si>
    <t>Justin Kluivert</t>
  </si>
  <si>
    <t>Ryan Christie</t>
  </si>
  <si>
    <t>Tyler Adams</t>
  </si>
  <si>
    <t>Alex Scott</t>
  </si>
  <si>
    <t>Lewis Cook</t>
  </si>
  <si>
    <t>Mikkel Damsgaard</t>
  </si>
  <si>
    <t>Brentford</t>
  </si>
  <si>
    <t>Christian Norgaard</t>
  </si>
  <si>
    <t>Vitaly Janelt</t>
  </si>
  <si>
    <t>Mathias Jenson</t>
  </si>
  <si>
    <t>Yehor Yarmoliuk</t>
  </si>
  <si>
    <t>Sasa Lukic</t>
  </si>
  <si>
    <t>Fulham</t>
  </si>
  <si>
    <t>Sander Berge</t>
  </si>
  <si>
    <t>Emile Smith Rowe</t>
  </si>
  <si>
    <t>Andreas Pereira</t>
  </si>
  <si>
    <t>Tom Cairney</t>
  </si>
  <si>
    <t>Crystal Palace</t>
  </si>
  <si>
    <t>Eberechi Eze</t>
  </si>
  <si>
    <t>Jefferson Lerma</t>
  </si>
  <si>
    <t>Adam Wharton</t>
  </si>
  <si>
    <t>Daichi Kamada</t>
  </si>
  <si>
    <t>Justin Devenny</t>
  </si>
  <si>
    <t>Cheick Doucoure</t>
  </si>
  <si>
    <t>Will Hughes</t>
  </si>
  <si>
    <t xml:space="preserve">Successful Take-Ons </t>
  </si>
  <si>
    <t>Aerial Duel Win %</t>
  </si>
  <si>
    <t>Carlos Alvarez</t>
  </si>
  <si>
    <t>Everton</t>
  </si>
  <si>
    <t>Idrissa Gana Gueye</t>
  </si>
  <si>
    <t>Abdoulaye Doucoure</t>
  </si>
  <si>
    <t>Orel Mangala</t>
  </si>
  <si>
    <t>Tim Iroegbunan</t>
  </si>
  <si>
    <t>James Garner</t>
  </si>
  <si>
    <t>West Ham</t>
  </si>
  <si>
    <t>Lucas Paqueta</t>
  </si>
  <si>
    <t>Carlos Soler</t>
  </si>
  <si>
    <t>Thomas Soucek</t>
  </si>
  <si>
    <t>Edson Alvarez</t>
  </si>
  <si>
    <t>Guido Rodriguez</t>
  </si>
  <si>
    <t>James Ward Prowse</t>
  </si>
  <si>
    <t>Bruno Fernandes</t>
  </si>
  <si>
    <t>Manuel Ugarte</t>
  </si>
  <si>
    <t>Kobbie Mainoo</t>
  </si>
  <si>
    <t>Manchester United</t>
  </si>
  <si>
    <t>Casemiro</t>
  </si>
  <si>
    <t>Christian Eriksen</t>
  </si>
  <si>
    <t>Mason Mount</t>
  </si>
  <si>
    <t>Non Penalty Goals</t>
  </si>
  <si>
    <t>Wolverhampton Wanderers</t>
  </si>
  <si>
    <t>Joao Gomes</t>
  </si>
  <si>
    <t xml:space="preserve">Andre </t>
  </si>
  <si>
    <t>Tommy Doyle</t>
  </si>
  <si>
    <t>Mario Lemina</t>
  </si>
  <si>
    <t>Tottenham Hotspur</t>
  </si>
  <si>
    <t>Dejan Kulusevski</t>
  </si>
  <si>
    <t>Pape Matar Sarr</t>
  </si>
  <si>
    <t>James Maddison</t>
  </si>
  <si>
    <t>Rodrigo Bentancur</t>
  </si>
  <si>
    <t>Yves Bissouma</t>
  </si>
  <si>
    <t>Lucas Bergvall</t>
  </si>
  <si>
    <t>Facundo Buonanotte</t>
  </si>
  <si>
    <t>Leicester City</t>
  </si>
  <si>
    <t>Bibal El Khannouss</t>
  </si>
  <si>
    <t>Wilfred Ndidi</t>
  </si>
  <si>
    <t>Boubakary Soumare</t>
  </si>
  <si>
    <t>Harry Winks</t>
  </si>
  <si>
    <t>Oliver Skipp</t>
  </si>
  <si>
    <t>Ipswich Town</t>
  </si>
  <si>
    <t>Omari Hutchinson</t>
  </si>
  <si>
    <t>Julio Enciso</t>
  </si>
  <si>
    <t>Sam Morsy</t>
  </si>
  <si>
    <t>Jens Cajuste</t>
  </si>
  <si>
    <t>Kalvin Phillips</t>
  </si>
  <si>
    <t>Jack Tayler</t>
  </si>
  <si>
    <t>Southampton</t>
  </si>
  <si>
    <t>Tyler Dibling</t>
  </si>
  <si>
    <t>Mateus Fernandes</t>
  </si>
  <si>
    <t>Flynn Downes</t>
  </si>
  <si>
    <t>Lesley Ugochukwu</t>
  </si>
  <si>
    <t>William Smallbone</t>
  </si>
  <si>
    <t>Joe Aribo</t>
  </si>
  <si>
    <t>Non Penalty Goals/TeamXG</t>
  </si>
  <si>
    <t>Team Touches/90</t>
  </si>
  <si>
    <t>Team Tackles/90</t>
  </si>
  <si>
    <t>Passes Completed</t>
  </si>
  <si>
    <t>Team Sucessful Take-Ons</t>
  </si>
  <si>
    <t>TeamNPXG/90</t>
  </si>
  <si>
    <t>Team Passes Completed</t>
  </si>
  <si>
    <t>Share of Passes Completed</t>
  </si>
  <si>
    <t>Share of Sucessful Take-Ons</t>
  </si>
  <si>
    <t>Share of Tackles Won</t>
  </si>
  <si>
    <t>Share of Touches</t>
  </si>
  <si>
    <t>Share of npxG</t>
  </si>
  <si>
    <t>Progressive Passes/Passes Completed</t>
  </si>
  <si>
    <t>Progressive Passes Received</t>
  </si>
  <si>
    <t>Player Image Address</t>
  </si>
  <si>
    <t>https://fbref.com/req/202302030/images/headshots/cc77354e_2022.jpg</t>
  </si>
  <si>
    <t>https://fbref.com/req/202302030/images/headshots/16264a81_2022.jpg</t>
  </si>
  <si>
    <t>https://fbref.com/req/202302030/images/headshots/5ff4ab71_2022.jpg</t>
  </si>
  <si>
    <t>https://fbref.com/req/202302030/images/headshots/dc7f8a28_2022.jpg</t>
  </si>
  <si>
    <t>https://fbref.com/req/202302030/images/headshots/ecad9aa5_2022.jpg</t>
  </si>
  <si>
    <t>https://fbref.com/req/202302030/images/headshots/b8e740fb_2022.jpg</t>
  </si>
  <si>
    <t>https://fbref.com/req/202302030/images/headshots/83d074ff_2022.jpg</t>
  </si>
  <si>
    <t>https://fbref.com/req/202302030/images/headshots/934e1968_2022.jpg</t>
  </si>
  <si>
    <t>https://fbref.com/req/202302030/images/headshots/4fb9c88f_2022.jpg</t>
  </si>
  <si>
    <t>https://fbref.com/req/202302030/images/headshots/d080ed5e_2022.jpg</t>
  </si>
  <si>
    <t>https://fbref.com/req/202302030/images/headshots/1c7012b8_2022.jpg</t>
  </si>
  <si>
    <t>https://fbref.com/req/202302030/images/headshots/79300479_2022.jpg</t>
  </si>
  <si>
    <t>https://fbref.com/req/202302030/images/headshots/45db685d_2022.jpg</t>
  </si>
  <si>
    <t>https://fbref.com/req/202302030/images/headshots/529f49ab_2022.jpg</t>
  </si>
  <si>
    <t>https://fbref.com/req/202302030/images/headshots/3eb22ec9_2022.jpg</t>
  </si>
  <si>
    <t>https://fbref.com/req/202302030/images/headshots/ed1e53f3_2022.jpg</t>
  </si>
  <si>
    <t>https://fbref.com/req/202302030/images/headshots/e46012d4_2022.jpg</t>
  </si>
  <si>
    <t>https://fbref.com/req/202302030/images/headshots/819b3158_2022.jpg</t>
  </si>
  <si>
    <t>https://fbref.com/req/202302030/images/headshots/79c0821a_2022.jpg</t>
  </si>
  <si>
    <t>https://fbref.com/req/202302030/images/headshots/2c56a792_2022.jpg</t>
  </si>
  <si>
    <t>https://fbref.com/req/202302030/images/headshots/c17bfb65_2022.jpg</t>
  </si>
  <si>
    <t>https://fbref.com/req/202302030/images/headshots/a3b03921_2022.jpg</t>
  </si>
  <si>
    <t>https://fbref.com/req/202302030/images/headshots/82518f62_2022.jpg</t>
  </si>
  <si>
    <t>https://fbref.com/req/202302030/images/headshots/0db169ae_2022.jpg</t>
  </si>
  <si>
    <t>https://fbref.com/req/202302030/images/headshots/a2b105e0_2022.jpg</t>
  </si>
  <si>
    <t>https://fbref.com/req/202302030/images/headshots/1544f145_2022.jpg</t>
  </si>
  <si>
    <t>https://fbref.com/req/202302030/images/headshots/90f91999_2022.jpg</t>
  </si>
  <si>
    <t>https://fbref.com/req/202302030/images/headshots/56f7a928_2022.jpg</t>
  </si>
  <si>
    <t>https://fbref.com/req/202302030/images/headshots/3a24769f_2022.jpg</t>
  </si>
  <si>
    <t>https://fbref.com/req/202302030/images/headshots/bca5c4a7_2022.jpg</t>
  </si>
  <si>
    <t>https://fbref.com/req/202302030/images/headshots/828657ff_2022.jpg</t>
  </si>
  <si>
    <t>https://fbref.com/req/202302030/images/headshots/20b3a502_2022.jpg</t>
  </si>
  <si>
    <t>https://fbref.com/req/202302030/images/headshots/32f60ed8_2022.jpg</t>
  </si>
  <si>
    <t>https://fbref.com/req/202302030/images/headshots/de31038e_2022.jpg</t>
  </si>
  <si>
    <t>https://fbref.com/req/202302030/images/headshots/bced0375_2022.jpg</t>
  </si>
  <si>
    <t>https://fbref.com/req/202302030/images/headshots/c1fe2a48_2022.jpg</t>
  </si>
  <si>
    <t>https://fbref.com/req/202302030/images/headshots/a1390d2f_2022.jpg</t>
  </si>
  <si>
    <t>https://fbref.com/req/202302030/images/headshots/f173303a_2022.jpg</t>
  </si>
  <si>
    <t>https://fbref.com/req/202302030/images/headshots/fb495bb8_2022.jpg</t>
  </si>
  <si>
    <t>https://fbref.com/req/202302030/images/headshots/4876c9ab_2022.jpg</t>
  </si>
  <si>
    <t>https://fbref.com/req/202302030/images/headshots/4c3a6744_2022.jpg</t>
  </si>
  <si>
    <t>https://fbref.com/req/202302030/images/headshots/26ce2263_2022.jpg</t>
  </si>
  <si>
    <t>https://fbref.com/req/202302030/images/headshots/2b09d998_2022.jpg</t>
  </si>
  <si>
    <t>https://fbref.com/req/202302030/images/headshots/104d0bb8_2022.jpg</t>
  </si>
  <si>
    <t>https://fbref.com/req/202302030/images/headshots/2afc7272_2022.jpg</t>
  </si>
  <si>
    <t>https://fbref.com/req/202302030/images/headshots/215f3907_2022.jpg</t>
  </si>
  <si>
    <t>https://fbref.com/req/202302030/images/headshots/df0a4c90_2022.jpg</t>
  </si>
  <si>
    <t>https://fbref.com/req/202302030/images/headshots/8449d35e_2022.jpg</t>
  </si>
  <si>
    <t>https://fbref.com/req/202302030/images/headshots/0f134faf_2022.jpg</t>
  </si>
  <si>
    <t>https://fbref.com/req/202302030/images/headshots/907a5d7c_2022.jpg</t>
  </si>
  <si>
    <t>https://fbref.com/req/202302030/images/headshots/c6e8cf1f_2022.jpg</t>
  </si>
  <si>
    <t>https://fbref.com/req/202302030/images/headshots/d0b6129f_2022.jpg</t>
  </si>
  <si>
    <t>https://fbref.com/req/202302030/images/headshots/17695062_2022.jpg</t>
  </si>
  <si>
    <t>https://fbref.com/req/202302030/images/headshots/6639e500_2022.jpg</t>
  </si>
  <si>
    <t>https://fbref.com/req/202302030/images/headshots/a8748947_2022.jpg</t>
  </si>
  <si>
    <t>https://fbref.com/req/202302030/images/headshots/ae4fc6a4_2022.jpg</t>
  </si>
  <si>
    <t>https://fbref.com/req/202302030/images/headshots/a0666d3e_2022.jpg</t>
  </si>
  <si>
    <t>https://fbref.com/req/202302030/images/headshots/4b542852_2022.jpg</t>
  </si>
  <si>
    <t>https://fbref.com/req/202302030/images/headshots/15b287da_2022.jpg</t>
  </si>
  <si>
    <t>https://fbref.com/req/202302030/images/headshots/ce4f40c7_2022.jpg</t>
  </si>
  <si>
    <t>https://fbref.com/req/202302030/images/headshots/9b5ce51a_2022.jpg</t>
  </si>
  <si>
    <t>https://fbref.com/req/202302030/images/headshots/4abac767_2022.jpg</t>
  </si>
  <si>
    <t>https://fbref.com/req/202302030/images/headshots/72c812f3_2022.jpg</t>
  </si>
  <si>
    <t>https://fbref.com/req/202302030/images/headshots/a572e291_2022.jpg</t>
  </si>
  <si>
    <t>https://fbref.com/req/202302030/images/headshots/02b29014_2022.jpg</t>
  </si>
  <si>
    <t>https://fbref.com/req/202302030/images/headshots/84c5ceea_2022.jpg</t>
  </si>
  <si>
    <t>https://fbref.com/req/202302030/images/headshots/4e015693_2022.jpg</t>
  </si>
  <si>
    <t>https://fbref.com/req/202302030/images/headshots/9b6f7fd5_2022.jpg</t>
  </si>
  <si>
    <t>https://fbref.com/req/202302030/images/headshots/fed17f5a_2022.jpg</t>
  </si>
  <si>
    <t>https://fbref.com/req/202302030/images/headshots/6613c819_2022.jpg</t>
  </si>
  <si>
    <t>https://fbref.com/req/202302030/images/headshots/8b3ab7ad_2022.jpg</t>
  </si>
  <si>
    <t>https://fbref.com/req/202302030/images/headshots/34e393f2_2022.jpg</t>
  </si>
  <si>
    <t>https://fbref.com/req/202302030/images/headshots/3515d404_2022.jpg</t>
  </si>
  <si>
    <t>https://fbref.com/req/202302030/images/headshots/507c7bdf_2022.jpg</t>
  </si>
  <si>
    <t>https://fbref.com/req/202302030/images/headshots/c9817014_2022.jpg</t>
  </si>
  <si>
    <t>https://fbref.com/req/202302030/images/headshots/c6220452_2022.jpg</t>
  </si>
  <si>
    <t>https://fbref.com/req/202302030/images/headshots/4d224fe8_2022.jpg</t>
  </si>
  <si>
    <t>https://fbref.com/req/202302030/images/headshots/980522ec_2022.jpg</t>
  </si>
  <si>
    <t>https://fbref.com/req/202302030/images/headshots/9674002f_2022.jpg</t>
  </si>
  <si>
    <t>https://fbref.com/req/202302030/images/headshots/8b57ad2c_2022.jpg</t>
  </si>
  <si>
    <t>https://fbref.com/req/202302030/images/headshots/ec604e2c_2022.jpg</t>
  </si>
  <si>
    <t>https://fbref.com/req/202302030/images/headshots/5526deb1_2022.jpg</t>
  </si>
  <si>
    <t>https://fbref.com/req/202302030/images/headshots/2b471f99_2022.jpg</t>
  </si>
  <si>
    <t>https://fbref.com/req/202302030/images/headshots/df3cda47_2022.jpg</t>
  </si>
  <si>
    <t>https://fbref.com/req/202302030/images/headshots/feb5d972_2022.jpg</t>
  </si>
  <si>
    <t>https://fbref.com/req/202302030/images/headshots/ee38d9c5_2022.jpg</t>
  </si>
  <si>
    <t>https://fbref.com/req/202302030/images/headshots/3b8674e6_2022.jpg</t>
  </si>
  <si>
    <t>https://fbref.com/req/202302030/images/headshots/6c203af0_2022.jpg</t>
  </si>
  <si>
    <t>https://fbref.com/req/202302030/images/headshots/468a7a91_2022.jpg</t>
  </si>
  <si>
    <t>https://fbref.com/req/202302030/images/headshots/f7042636_2022.jpg</t>
  </si>
  <si>
    <t>https://fbref.com/req/202302030/images/headshots/6b47c5db_2022.jpg</t>
  </si>
  <si>
    <t>https://fbref.com/req/202302030/images/headshots/ae59b359_2022.jpg</t>
  </si>
  <si>
    <t>https://fbref.com/req/202302030/images/headshots/2f7acede_2022.jpg</t>
  </si>
  <si>
    <t>https://fbref.com/req/202302030/images/headshots/6250083a_2022.jpg</t>
  </si>
  <si>
    <t>https://fbref.com/req/202302030/images/headshots/bd9553e6_2022.jpg</t>
  </si>
  <si>
    <t>https://fbref.com/req/202302030/images/headshots/9cfbad36_2022.jpg</t>
  </si>
  <si>
    <t>https://fbref.com/req/202302030/images/headshots/a23c0949_2022.jpg</t>
  </si>
  <si>
    <t>https://fbref.com/req/202302030/images/headshots/928a4a61_2022.jpg</t>
  </si>
  <si>
    <t>https://fbref.com/req/202302030/images/headshots/4f565d77_2022.jpg</t>
  </si>
  <si>
    <t>https://fbref.com/req/202302030/images/headshots/48eed8d5_2022.jpg</t>
  </si>
  <si>
    <t>https://fbref.com/req/202302030/images/headshots/bdcc89ae_2022.jpg</t>
  </si>
  <si>
    <t>https://fbref.com/req/202302030/images/headshots/69fdb896_2022.jpg</t>
  </si>
  <si>
    <t>https://fbref.com/req/202302030/images/headshots/1df4a109_2022.jpg</t>
  </si>
  <si>
    <t>https://fbref.com/req/202302030/images/headshots/5e105217_2022.jpg</t>
  </si>
  <si>
    <t>https://fbref.com/req/202302030/images/headshots/328f7d51_2022.jpg</t>
  </si>
  <si>
    <t>https://cdn.ssref.net/req/202510241/tlogo/fb/cff3d9bb.png</t>
  </si>
  <si>
    <t>Team Image Address</t>
  </si>
  <si>
    <t>https://cdn.ssref.net/req/202510241/tlogo/fb/822bd0ba.png</t>
  </si>
  <si>
    <t>https://cdn.ssref.net/req/202510241/tlogo/fb/18bb7c10.png</t>
  </si>
  <si>
    <t>https://cdn.ssref.net/req/202510241/tlogo/fb/b8fd03ef.png</t>
  </si>
  <si>
    <t>https://cdn.ssref.net/req/202510241/tlogo/fb/b2b47a98.png</t>
  </si>
  <si>
    <t>https://cdn.ssref.net/req/202510241/tlogo/fb/8602292d.png</t>
  </si>
  <si>
    <t>https://cdn.ssref.net/req/202510241/tlogo/fb/e4a775cb.png</t>
  </si>
  <si>
    <t>https://cdn.ssref.net/req/202510241/tlogo/fb/d07537b9.png</t>
  </si>
  <si>
    <t>https://cdn.ssref.net/req/202510241/tlogo/fb/4ba7cbea.png</t>
  </si>
  <si>
    <t>https://cdn.ssref.net/req/202510241/tlogo/fb/cd051869.png</t>
  </si>
  <si>
    <t>https://cdn.ssref.net/req/202510241/tlogo/fb/fd962109.png</t>
  </si>
  <si>
    <t>https://cdn.ssref.net/req/202510241/tlogo/fb/47c64c55.png</t>
  </si>
  <si>
    <t>https://cdn.ssref.net/req/202510241/tlogo/fb/d3fd31cc.png</t>
  </si>
  <si>
    <t>https://cdn.ssref.net/req/202510241/tlogo/fb/7c21e445.png</t>
  </si>
  <si>
    <t>https://cdn.ssref.net/req/202510241/tlogo/fb/19538871.png</t>
  </si>
  <si>
    <t>https://cdn.ssref.net/req/202510241/tlogo/fb/8cec06e1.png</t>
  </si>
  <si>
    <t>https://cdn.ssref.net/req/202510241/tlogo/fb/361ca564.png</t>
  </si>
  <si>
    <t>https://cdn.ssref.net/req/202510241/tlogo/fb/a2d435b3.png</t>
  </si>
  <si>
    <t>https://cdn.ssref.net/req/202510241/tlogo/fb/b74092de.png</t>
  </si>
  <si>
    <t>https://cdn.ssref.net/req/202510241/tlogo/fb/33c895d4.png</t>
  </si>
  <si>
    <t>https://fbref.com/req/202302030/images/headshots/ef491564_2022.jpg</t>
  </si>
  <si>
    <t>https://fbref.com/req/202302030/images/headshots/6c2b66fc_2022.jpg</t>
  </si>
  <si>
    <t>https://fbref.com/req/202302030/images/headshots/916728da_2022.jpg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</si>
</sst>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2" fillId="0" borderId="0" xfId="0" applyFont="1"/>
    <xf numFmtId="164" fontId="0" fillId="0" borderId="0" xfId="1" applyNumberFormat="1" applyFont="1" applyBorder="1"/>
    <xf numFmtId="2" fontId="0" fillId="0" borderId="3" xfId="1" applyNumberFormat="1" applyFont="1" applyBorder="1"/>
    <xf numFmtId="2" fontId="0" fillId="0" borderId="3" xfId="0" applyNumberFormat="1" applyBorder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74"/>
  <sheetViews>
    <sheetView tabSelected="1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AP1" sqref="AP1"/>
    </sheetView>
  </sheetViews>
  <sheetFormatPr baseColWidth="10" defaultColWidth="8.83203125" defaultRowHeight="15" x14ac:dyDescent="0.2"/>
  <cols>
    <col min="1" max="1" width="16" bestFit="1" customWidth="1"/>
    <col min="13" max="13" width="8.83203125" style="6"/>
    <col min="14" max="14" width="12.1640625" bestFit="1" customWidth="1"/>
    <col min="18" max="18" width="8.83203125" style="4"/>
    <col min="22" max="22" width="9.1640625" style="1"/>
    <col min="27" max="27" width="8.83203125" style="6"/>
    <col min="31" max="31" width="8.83203125" style="6"/>
    <col min="33" max="33" width="9.6640625" bestFit="1" customWidth="1"/>
    <col min="37" max="37" width="8.83203125" style="6"/>
  </cols>
  <sheetData>
    <row r="1" spans="1:42" x14ac:dyDescent="0.2">
      <c r="A1" t="s">
        <v>0</v>
      </c>
      <c r="B1" t="s">
        <v>1</v>
      </c>
      <c r="C1" t="s">
        <v>2</v>
      </c>
      <c r="D1" t="s">
        <v>163</v>
      </c>
      <c r="E1" t="s">
        <v>160</v>
      </c>
      <c r="F1" t="s">
        <v>159</v>
      </c>
      <c r="G1" t="s">
        <v>162</v>
      </c>
      <c r="H1" t="s">
        <v>164</v>
      </c>
      <c r="I1" t="s">
        <v>3</v>
      </c>
      <c r="J1" t="s">
        <v>4</v>
      </c>
      <c r="K1" t="s">
        <v>5</v>
      </c>
      <c r="L1" t="s">
        <v>6</v>
      </c>
      <c r="M1" s="6" t="s">
        <v>7</v>
      </c>
      <c r="N1" t="s">
        <v>169</v>
      </c>
      <c r="O1" t="s">
        <v>124</v>
      </c>
      <c r="P1" t="s">
        <v>158</v>
      </c>
      <c r="Q1" s="5" t="s">
        <v>8</v>
      </c>
      <c r="R1" t="s">
        <v>9</v>
      </c>
      <c r="S1" t="s">
        <v>10</v>
      </c>
      <c r="T1" t="s">
        <v>161</v>
      </c>
      <c r="U1" t="s">
        <v>165</v>
      </c>
      <c r="V1" s="1" t="s">
        <v>11</v>
      </c>
      <c r="W1" t="s">
        <v>12</v>
      </c>
      <c r="X1" t="s">
        <v>13</v>
      </c>
      <c r="Y1" t="s">
        <v>14</v>
      </c>
      <c r="Z1" t="s">
        <v>170</v>
      </c>
      <c r="AA1" s="6" t="s">
        <v>101</v>
      </c>
      <c r="AB1" t="s">
        <v>166</v>
      </c>
      <c r="AC1" t="s">
        <v>34</v>
      </c>
      <c r="AD1" t="s">
        <v>20</v>
      </c>
      <c r="AE1" s="6" t="s">
        <v>21</v>
      </c>
      <c r="AF1" t="s">
        <v>167</v>
      </c>
      <c r="AG1" t="s">
        <v>15</v>
      </c>
      <c r="AH1" t="s">
        <v>16</v>
      </c>
      <c r="AI1" t="s">
        <v>17</v>
      </c>
      <c r="AJ1" t="s">
        <v>102</v>
      </c>
      <c r="AK1" s="6" t="s">
        <v>18</v>
      </c>
      <c r="AL1" t="s">
        <v>171</v>
      </c>
      <c r="AM1" t="s">
        <v>19</v>
      </c>
      <c r="AN1" t="s">
        <v>168</v>
      </c>
      <c r="AO1" t="s">
        <v>172</v>
      </c>
      <c r="AP1" t="s">
        <v>279</v>
      </c>
    </row>
    <row r="2" spans="1:42" x14ac:dyDescent="0.2">
      <c r="A2" t="s">
        <v>22</v>
      </c>
      <c r="B2">
        <v>22</v>
      </c>
      <c r="C2" t="s">
        <v>23</v>
      </c>
      <c r="D2" s="1">
        <v>1.68</v>
      </c>
      <c r="E2" s="1">
        <v>15.473684210526315</v>
      </c>
      <c r="F2" s="1">
        <v>663.6</v>
      </c>
      <c r="G2" s="1">
        <v>8.58</v>
      </c>
      <c r="H2" s="1">
        <v>474.6</v>
      </c>
      <c r="I2" t="s">
        <v>24</v>
      </c>
      <c r="J2" t="s">
        <v>25</v>
      </c>
      <c r="K2" t="s">
        <v>26</v>
      </c>
      <c r="L2">
        <v>37.200000000000003</v>
      </c>
      <c r="M2" s="6">
        <v>0.02</v>
      </c>
      <c r="N2" s="2">
        <f>M2/D2</f>
        <v>1.1904761904761906E-2</v>
      </c>
      <c r="O2">
        <v>0.03</v>
      </c>
      <c r="P2" s="2">
        <f>O2/D2</f>
        <v>1.7857142857142856E-2</v>
      </c>
      <c r="Q2" s="5">
        <v>0.54</v>
      </c>
      <c r="R2">
        <v>58.7</v>
      </c>
      <c r="S2" s="2">
        <v>0.89700000000000002</v>
      </c>
      <c r="T2" s="1">
        <f t="shared" ref="T2:T33" si="0">R2*S2</f>
        <v>52.6539</v>
      </c>
      <c r="U2" s="2">
        <f>T2/H2</f>
        <v>0.11094374209860935</v>
      </c>
      <c r="V2" s="1">
        <f>908.7/52.83</f>
        <v>17.200454287336743</v>
      </c>
      <c r="W2">
        <v>0.05</v>
      </c>
      <c r="X2">
        <v>0.08</v>
      </c>
      <c r="Y2">
        <v>5.77</v>
      </c>
      <c r="Z2" s="2">
        <f>Y2/T2</f>
        <v>0.10958352562678167</v>
      </c>
      <c r="AA2" s="6">
        <v>0.79</v>
      </c>
      <c r="AB2" s="2">
        <f t="shared" ref="AB2:AB33" si="1">AA2/G2</f>
        <v>9.2074592074592079E-2</v>
      </c>
      <c r="AC2" s="2">
        <v>0.45300000000000001</v>
      </c>
      <c r="AD2">
        <v>1.83</v>
      </c>
      <c r="AE2" s="6">
        <v>1.96</v>
      </c>
      <c r="AF2" s="2">
        <f t="shared" ref="AF2:AF33" si="2">AE2/E2</f>
        <v>0.12666666666666668</v>
      </c>
      <c r="AG2" s="2">
        <f>1.96/3.06</f>
        <v>0.64052287581699341</v>
      </c>
      <c r="AH2">
        <v>1.32</v>
      </c>
      <c r="AI2">
        <v>0.94</v>
      </c>
      <c r="AJ2" s="2">
        <v>0.68600000000000005</v>
      </c>
      <c r="AK2" s="6">
        <v>1.32</v>
      </c>
      <c r="AL2">
        <v>0.99</v>
      </c>
      <c r="AM2">
        <v>69.27</v>
      </c>
      <c r="AN2" s="14">
        <f t="shared" ref="AN2:AN33" si="3">AM2/F2</f>
        <v>0.10438517179023507</v>
      </c>
      <c r="AO2" t="s">
        <v>174</v>
      </c>
      <c r="AP2" t="s">
        <v>278</v>
      </c>
    </row>
    <row r="3" spans="1:42" x14ac:dyDescent="0.2">
      <c r="A3" t="s">
        <v>27</v>
      </c>
      <c r="B3">
        <v>23</v>
      </c>
      <c r="C3" t="s">
        <v>23</v>
      </c>
      <c r="D3" s="1">
        <v>1.68</v>
      </c>
      <c r="E3" s="1">
        <v>15.473684210526315</v>
      </c>
      <c r="F3" s="1">
        <v>663.6</v>
      </c>
      <c r="G3" s="1">
        <v>8.58</v>
      </c>
      <c r="H3" s="1">
        <v>474.6</v>
      </c>
      <c r="I3" t="s">
        <v>24</v>
      </c>
      <c r="J3" t="s">
        <v>25</v>
      </c>
      <c r="K3" t="s">
        <v>26</v>
      </c>
      <c r="L3">
        <v>32.700000000000003</v>
      </c>
      <c r="M3" s="6">
        <v>0.21</v>
      </c>
      <c r="N3" s="2">
        <f t="shared" ref="N3:N66" si="4">M3/D3</f>
        <v>0.125</v>
      </c>
      <c r="O3">
        <v>0.21</v>
      </c>
      <c r="P3" s="2">
        <f t="shared" ref="P3:P66" si="5">O3/D3</f>
        <v>0.125</v>
      </c>
      <c r="Q3" s="5">
        <v>1.63</v>
      </c>
      <c r="R3">
        <v>57.96</v>
      </c>
      <c r="S3" s="2">
        <v>0.80100000000000005</v>
      </c>
      <c r="T3" s="1">
        <f t="shared" si="0"/>
        <v>46.425960000000003</v>
      </c>
      <c r="U3" s="2">
        <f t="shared" ref="U3:U66" si="6">T3/H3</f>
        <v>9.7821238938053098E-2</v>
      </c>
      <c r="V3" s="1">
        <f>810.92/46.43</f>
        <v>17.465431832866681</v>
      </c>
      <c r="W3">
        <v>0.21</v>
      </c>
      <c r="X3">
        <v>0.21</v>
      </c>
      <c r="Y3">
        <v>6.5</v>
      </c>
      <c r="Z3" s="2">
        <f t="shared" ref="Z3:Z66" si="7">Y3/T3</f>
        <v>0.14000787490447153</v>
      </c>
      <c r="AA3" s="6">
        <v>0.77</v>
      </c>
      <c r="AB3" s="2">
        <f t="shared" si="1"/>
        <v>8.9743589743589744E-2</v>
      </c>
      <c r="AC3" s="2">
        <v>0.46300000000000002</v>
      </c>
      <c r="AD3">
        <v>1.87</v>
      </c>
      <c r="AE3" s="6">
        <v>0.89</v>
      </c>
      <c r="AF3" s="2">
        <f t="shared" si="2"/>
        <v>5.7517006802721093E-2</v>
      </c>
      <c r="AG3" s="2">
        <f>0.89/1.87</f>
        <v>0.47593582887700531</v>
      </c>
      <c r="AH3">
        <v>1.32</v>
      </c>
      <c r="AI3">
        <v>0.43</v>
      </c>
      <c r="AJ3" s="2">
        <v>0.311</v>
      </c>
      <c r="AK3" s="6">
        <v>0.4</v>
      </c>
      <c r="AL3">
        <v>3.93</v>
      </c>
      <c r="AM3">
        <v>67.25</v>
      </c>
      <c r="AN3" s="14">
        <f t="shared" si="3"/>
        <v>0.10134116937914406</v>
      </c>
      <c r="AO3" t="s">
        <v>175</v>
      </c>
      <c r="AP3" t="s">
        <v>278</v>
      </c>
    </row>
    <row r="4" spans="1:42" x14ac:dyDescent="0.2">
      <c r="A4" t="s">
        <v>28</v>
      </c>
      <c r="B4">
        <v>22</v>
      </c>
      <c r="C4" t="s">
        <v>23</v>
      </c>
      <c r="D4" s="1">
        <v>1.68</v>
      </c>
      <c r="E4" s="1">
        <v>15.473684210526315</v>
      </c>
      <c r="F4" s="1">
        <v>663.6</v>
      </c>
      <c r="G4" s="1">
        <v>8.58</v>
      </c>
      <c r="H4" s="1">
        <v>474.6</v>
      </c>
      <c r="I4" t="s">
        <v>24</v>
      </c>
      <c r="J4" t="s">
        <v>25</v>
      </c>
      <c r="K4" t="s">
        <v>26</v>
      </c>
      <c r="L4">
        <v>35.5</v>
      </c>
      <c r="M4" s="6">
        <v>0.38</v>
      </c>
      <c r="N4" s="2">
        <f t="shared" si="4"/>
        <v>0.22619047619047619</v>
      </c>
      <c r="O4">
        <v>0.31</v>
      </c>
      <c r="P4" s="2">
        <f t="shared" si="5"/>
        <v>0.18452380952380953</v>
      </c>
      <c r="Q4" s="5">
        <v>3.41</v>
      </c>
      <c r="R4">
        <v>41.74</v>
      </c>
      <c r="S4" s="3">
        <v>0.77</v>
      </c>
      <c r="T4" s="1">
        <f t="shared" si="0"/>
        <v>32.139800000000001</v>
      </c>
      <c r="U4" s="2">
        <f t="shared" si="6"/>
        <v>6.771976401179941E-2</v>
      </c>
      <c r="V4" s="1">
        <f>608.71/32.15</f>
        <v>18.93343701399689</v>
      </c>
      <c r="W4">
        <v>0.23</v>
      </c>
      <c r="X4">
        <v>0.31</v>
      </c>
      <c r="Y4">
        <v>6.04</v>
      </c>
      <c r="Z4" s="2">
        <f t="shared" si="7"/>
        <v>0.18792898524570781</v>
      </c>
      <c r="AA4" s="6">
        <v>1.44</v>
      </c>
      <c r="AB4" s="2">
        <f t="shared" si="1"/>
        <v>0.16783216783216781</v>
      </c>
      <c r="AC4" s="2">
        <v>0.45100000000000001</v>
      </c>
      <c r="AD4">
        <v>3.38</v>
      </c>
      <c r="AE4" s="6">
        <v>0.56000000000000005</v>
      </c>
      <c r="AF4" s="2">
        <f t="shared" si="2"/>
        <v>3.6190476190476197E-2</v>
      </c>
      <c r="AG4" s="2">
        <f>0.56/0.96</f>
        <v>0.58333333333333337</v>
      </c>
      <c r="AH4">
        <v>0.45</v>
      </c>
      <c r="AI4">
        <v>0.06</v>
      </c>
      <c r="AJ4" s="2">
        <v>0.222</v>
      </c>
      <c r="AK4" s="6">
        <v>0.31</v>
      </c>
      <c r="AL4">
        <v>5.27</v>
      </c>
      <c r="AM4">
        <v>52.21</v>
      </c>
      <c r="AN4" s="14">
        <f t="shared" si="3"/>
        <v>7.8676913803496076E-2</v>
      </c>
      <c r="AO4" t="s">
        <v>176</v>
      </c>
      <c r="AP4" t="s">
        <v>278</v>
      </c>
    </row>
    <row r="5" spans="1:42" x14ac:dyDescent="0.2">
      <c r="A5" t="s">
        <v>35</v>
      </c>
      <c r="B5">
        <v>20</v>
      </c>
      <c r="C5" t="s">
        <v>23</v>
      </c>
      <c r="D5" s="1">
        <v>1.68</v>
      </c>
      <c r="E5" s="1">
        <v>15.473684210526315</v>
      </c>
      <c r="F5" s="1">
        <v>663.6</v>
      </c>
      <c r="G5" s="1">
        <v>8.58</v>
      </c>
      <c r="H5" s="1">
        <v>474.6</v>
      </c>
      <c r="I5" t="s">
        <v>24</v>
      </c>
      <c r="J5" t="s">
        <v>25</v>
      </c>
      <c r="K5" t="s">
        <v>26</v>
      </c>
      <c r="L5">
        <v>8.9</v>
      </c>
      <c r="M5" s="6">
        <v>0.03</v>
      </c>
      <c r="N5" s="2">
        <f t="shared" si="4"/>
        <v>1.7857142857142856E-2</v>
      </c>
      <c r="O5">
        <v>0</v>
      </c>
      <c r="P5" s="2">
        <f t="shared" si="5"/>
        <v>0</v>
      </c>
      <c r="Q5" s="5">
        <v>0.23</v>
      </c>
      <c r="R5">
        <v>47.88</v>
      </c>
      <c r="S5" s="7">
        <v>0.91700000000000004</v>
      </c>
      <c r="T5" s="1">
        <f t="shared" si="0"/>
        <v>43.905960000000007</v>
      </c>
      <c r="U5" s="2">
        <f t="shared" si="6"/>
        <v>9.2511504424778776E-2</v>
      </c>
      <c r="V5" s="1">
        <f>739.87/43.93</f>
        <v>16.842021397678124</v>
      </c>
      <c r="W5">
        <v>0.11</v>
      </c>
      <c r="X5">
        <v>0.08</v>
      </c>
      <c r="Y5">
        <v>3.5</v>
      </c>
      <c r="Z5" s="2">
        <f t="shared" si="7"/>
        <v>7.9715829012735384E-2</v>
      </c>
      <c r="AA5" s="6">
        <v>1.1299999999999999</v>
      </c>
      <c r="AB5" s="2">
        <f t="shared" si="1"/>
        <v>0.13170163170163168</v>
      </c>
      <c r="AC5" s="2">
        <v>0.625</v>
      </c>
      <c r="AD5">
        <v>0.34</v>
      </c>
      <c r="AE5" s="6">
        <v>1.47</v>
      </c>
      <c r="AF5" s="2">
        <f t="shared" si="2"/>
        <v>9.5000000000000001E-2</v>
      </c>
      <c r="AG5" s="2">
        <f>1.47/2.48</f>
        <v>0.592741935483871</v>
      </c>
      <c r="AH5">
        <v>0.68</v>
      </c>
      <c r="AI5">
        <v>1.36</v>
      </c>
      <c r="AJ5" s="2">
        <v>0.66700000000000004</v>
      </c>
      <c r="AK5" s="6">
        <v>1.81</v>
      </c>
      <c r="AL5">
        <v>0.79</v>
      </c>
      <c r="AM5">
        <v>55.67</v>
      </c>
      <c r="AN5" s="14">
        <f t="shared" si="3"/>
        <v>8.3890898131404462E-2</v>
      </c>
      <c r="AO5" t="s">
        <v>177</v>
      </c>
      <c r="AP5" t="s">
        <v>278</v>
      </c>
    </row>
    <row r="6" spans="1:42" x14ac:dyDescent="0.2">
      <c r="A6" t="s">
        <v>29</v>
      </c>
      <c r="B6">
        <v>22</v>
      </c>
      <c r="C6" t="s">
        <v>30</v>
      </c>
      <c r="D6" s="1">
        <v>1.98</v>
      </c>
      <c r="E6" s="1">
        <v>16.894736842105264</v>
      </c>
      <c r="F6" s="1">
        <v>681.7</v>
      </c>
      <c r="G6" s="1">
        <v>7.92</v>
      </c>
      <c r="H6" s="1">
        <v>481.7</v>
      </c>
      <c r="I6" t="s">
        <v>24</v>
      </c>
      <c r="J6" t="s">
        <v>25</v>
      </c>
      <c r="K6" t="s">
        <v>26</v>
      </c>
      <c r="L6">
        <v>35.1</v>
      </c>
      <c r="M6" s="6">
        <v>0.03</v>
      </c>
      <c r="N6" s="2">
        <f t="shared" si="4"/>
        <v>1.5151515151515152E-2</v>
      </c>
      <c r="O6">
        <v>0</v>
      </c>
      <c r="P6" s="2">
        <f t="shared" si="5"/>
        <v>0</v>
      </c>
      <c r="Q6" s="5">
        <v>0.56999999999999995</v>
      </c>
      <c r="R6">
        <v>54.88</v>
      </c>
      <c r="S6" s="2">
        <v>0.89200000000000002</v>
      </c>
      <c r="T6" s="1">
        <f t="shared" si="0"/>
        <v>48.952960000000004</v>
      </c>
      <c r="U6" s="2">
        <f t="shared" si="6"/>
        <v>0.10162541000622795</v>
      </c>
      <c r="V6" s="1">
        <f>737.77/48.93</f>
        <v>15.078070713263847</v>
      </c>
      <c r="W6">
        <v>0.11</v>
      </c>
      <c r="X6">
        <v>0.09</v>
      </c>
      <c r="Y6">
        <v>5.16</v>
      </c>
      <c r="Z6" s="2">
        <f t="shared" si="7"/>
        <v>0.1054073134699107</v>
      </c>
      <c r="AA6" s="6">
        <v>1.05</v>
      </c>
      <c r="AB6" s="2">
        <f t="shared" si="1"/>
        <v>0.13257575757575757</v>
      </c>
      <c r="AC6" s="2">
        <v>0.45700000000000002</v>
      </c>
      <c r="AD6">
        <v>1.99</v>
      </c>
      <c r="AE6" s="6">
        <v>1</v>
      </c>
      <c r="AF6" s="2">
        <f t="shared" si="2"/>
        <v>5.9190031152647975E-2</v>
      </c>
      <c r="AG6" s="2">
        <f>1/1.97</f>
        <v>0.50761421319796951</v>
      </c>
      <c r="AH6">
        <v>1</v>
      </c>
      <c r="AI6">
        <v>0.74</v>
      </c>
      <c r="AJ6" s="3">
        <v>0.65</v>
      </c>
      <c r="AK6" s="6">
        <v>1.71</v>
      </c>
      <c r="AL6">
        <v>1.57</v>
      </c>
      <c r="AM6">
        <v>66.73</v>
      </c>
      <c r="AN6" s="14">
        <f t="shared" si="3"/>
        <v>9.7887633856535136E-2</v>
      </c>
      <c r="AO6" t="s">
        <v>178</v>
      </c>
      <c r="AP6" t="s">
        <v>280</v>
      </c>
    </row>
    <row r="7" spans="1:42" x14ac:dyDescent="0.2">
      <c r="A7" t="s">
        <v>31</v>
      </c>
      <c r="B7">
        <v>25</v>
      </c>
      <c r="C7" t="s">
        <v>30</v>
      </c>
      <c r="D7" s="1">
        <v>1.98</v>
      </c>
      <c r="E7" s="1">
        <v>16.894736842105264</v>
      </c>
      <c r="F7" s="1">
        <v>681.7</v>
      </c>
      <c r="G7" s="1">
        <v>7.92</v>
      </c>
      <c r="H7" s="1">
        <v>481.7</v>
      </c>
      <c r="I7" t="s">
        <v>24</v>
      </c>
      <c r="J7" t="s">
        <v>25</v>
      </c>
      <c r="K7" t="s">
        <v>26</v>
      </c>
      <c r="L7">
        <v>28.9</v>
      </c>
      <c r="M7" s="6">
        <v>0.1</v>
      </c>
      <c r="N7" s="2">
        <f t="shared" si="4"/>
        <v>5.0505050505050511E-2</v>
      </c>
      <c r="O7">
        <v>0.08</v>
      </c>
      <c r="P7" s="2">
        <f t="shared" si="5"/>
        <v>4.0404040404040407E-2</v>
      </c>
      <c r="Q7" s="5">
        <v>1.32</v>
      </c>
      <c r="R7">
        <v>52.77</v>
      </c>
      <c r="S7" s="2">
        <v>0.83499999999999996</v>
      </c>
      <c r="T7" s="1">
        <f t="shared" si="0"/>
        <v>44.062950000000001</v>
      </c>
      <c r="U7" s="2">
        <f t="shared" si="6"/>
        <v>9.1473842640647715E-2</v>
      </c>
      <c r="V7" s="1">
        <f>704.49/44.08</f>
        <v>15.982078039927405</v>
      </c>
      <c r="W7">
        <v>0.17</v>
      </c>
      <c r="X7">
        <v>0.16</v>
      </c>
      <c r="Y7">
        <v>6.13</v>
      </c>
      <c r="Z7" s="2">
        <f t="shared" si="7"/>
        <v>0.13911914658460225</v>
      </c>
      <c r="AA7" s="6">
        <v>0.55000000000000004</v>
      </c>
      <c r="AB7" s="2">
        <f t="shared" si="1"/>
        <v>6.9444444444444448E-2</v>
      </c>
      <c r="AC7" s="2">
        <v>0.38100000000000001</v>
      </c>
      <c r="AD7">
        <v>1.25</v>
      </c>
      <c r="AE7" s="6">
        <v>2.0099999999999998</v>
      </c>
      <c r="AF7" s="2">
        <f t="shared" si="2"/>
        <v>0.11897196261682241</v>
      </c>
      <c r="AG7" s="2">
        <f>2.01/3.29</f>
        <v>0.61094224924012153</v>
      </c>
      <c r="AH7" s="1">
        <f>2.11/3.29</f>
        <v>0.64133738601823709</v>
      </c>
      <c r="AI7">
        <v>0.66</v>
      </c>
      <c r="AJ7" s="2">
        <v>0.35799999999999998</v>
      </c>
      <c r="AK7" s="6">
        <v>0.76</v>
      </c>
      <c r="AL7">
        <v>2.77</v>
      </c>
      <c r="AM7">
        <v>64.41</v>
      </c>
      <c r="AN7" s="14">
        <f t="shared" si="3"/>
        <v>9.4484377292063951E-2</v>
      </c>
      <c r="AO7" t="s">
        <v>179</v>
      </c>
      <c r="AP7" t="s">
        <v>280</v>
      </c>
    </row>
    <row r="8" spans="1:42" x14ac:dyDescent="0.2">
      <c r="A8" t="s">
        <v>32</v>
      </c>
      <c r="B8">
        <v>23</v>
      </c>
      <c r="C8" t="s">
        <v>30</v>
      </c>
      <c r="D8" s="1">
        <v>1.98</v>
      </c>
      <c r="E8" s="1">
        <v>16.894736842105264</v>
      </c>
      <c r="F8" s="1">
        <v>681.7</v>
      </c>
      <c r="G8" s="1">
        <v>7.92</v>
      </c>
      <c r="H8" s="1">
        <v>481.7</v>
      </c>
      <c r="I8" t="s">
        <v>24</v>
      </c>
      <c r="J8" t="s">
        <v>25</v>
      </c>
      <c r="K8" t="s">
        <v>26</v>
      </c>
      <c r="L8">
        <v>27.7</v>
      </c>
      <c r="M8" s="6">
        <v>0.26</v>
      </c>
      <c r="N8" s="2">
        <f t="shared" si="4"/>
        <v>0.13131313131313133</v>
      </c>
      <c r="O8">
        <v>0.22</v>
      </c>
      <c r="P8" s="2">
        <f t="shared" si="5"/>
        <v>0.11111111111111112</v>
      </c>
      <c r="Q8" s="5">
        <v>2.42</v>
      </c>
      <c r="R8">
        <v>47.76</v>
      </c>
      <c r="S8" s="2">
        <v>0.84299999999999997</v>
      </c>
      <c r="T8" s="1">
        <f t="shared" si="0"/>
        <v>40.261679999999998</v>
      </c>
      <c r="U8" s="2">
        <f t="shared" si="6"/>
        <v>8.3582478721195758E-2</v>
      </c>
      <c r="V8" s="1">
        <f>633.29/40.25</f>
        <v>15.73391304347826</v>
      </c>
      <c r="W8">
        <v>0.22</v>
      </c>
      <c r="X8">
        <v>0.27</v>
      </c>
      <c r="Y8">
        <v>4.7300000000000004</v>
      </c>
      <c r="Z8" s="2">
        <f t="shared" si="7"/>
        <v>0.11748143644279127</v>
      </c>
      <c r="AA8" s="6">
        <v>0.76</v>
      </c>
      <c r="AB8" s="2">
        <f t="shared" si="1"/>
        <v>9.5959595959595967E-2</v>
      </c>
      <c r="AC8" s="2">
        <v>0.51200000000000001</v>
      </c>
      <c r="AD8">
        <v>2.6</v>
      </c>
      <c r="AE8" s="6">
        <v>0.72</v>
      </c>
      <c r="AF8" s="2">
        <f t="shared" si="2"/>
        <v>4.261682242990654E-2</v>
      </c>
      <c r="AG8" s="2">
        <f>0.72/1.37</f>
        <v>0.52554744525547437</v>
      </c>
      <c r="AH8">
        <v>1.41</v>
      </c>
      <c r="AI8">
        <v>0.69</v>
      </c>
      <c r="AJ8" s="2">
        <v>0.45200000000000001</v>
      </c>
      <c r="AK8" s="6">
        <v>0.33</v>
      </c>
      <c r="AL8">
        <v>4.59</v>
      </c>
      <c r="AM8">
        <v>57.23</v>
      </c>
      <c r="AN8" s="14">
        <f t="shared" si="3"/>
        <v>8.395188499339884E-2</v>
      </c>
      <c r="AO8" t="s">
        <v>180</v>
      </c>
      <c r="AP8" t="s">
        <v>280</v>
      </c>
    </row>
    <row r="9" spans="1:42" x14ac:dyDescent="0.2">
      <c r="A9" t="s">
        <v>33</v>
      </c>
      <c r="B9">
        <v>23</v>
      </c>
      <c r="C9" t="s">
        <v>30</v>
      </c>
      <c r="D9" s="1">
        <v>1.98</v>
      </c>
      <c r="E9" s="1">
        <v>16.894736842105264</v>
      </c>
      <c r="F9" s="1">
        <v>681.7</v>
      </c>
      <c r="G9" s="1">
        <v>7.92</v>
      </c>
      <c r="H9" s="1">
        <v>481.7</v>
      </c>
      <c r="I9" t="s">
        <v>24</v>
      </c>
      <c r="J9" t="s">
        <v>25</v>
      </c>
      <c r="K9" t="s">
        <v>26</v>
      </c>
      <c r="L9">
        <v>19</v>
      </c>
      <c r="M9" s="6">
        <v>0.23</v>
      </c>
      <c r="N9" s="2">
        <f t="shared" si="4"/>
        <v>0.11616161616161617</v>
      </c>
      <c r="O9">
        <v>0.16</v>
      </c>
      <c r="P9" s="2">
        <f t="shared" si="5"/>
        <v>8.0808080808080815E-2</v>
      </c>
      <c r="Q9" s="5">
        <v>1.79</v>
      </c>
      <c r="R9">
        <v>57.67</v>
      </c>
      <c r="S9" s="2">
        <v>0.93100000000000005</v>
      </c>
      <c r="T9" s="1">
        <f t="shared" si="0"/>
        <v>53.690770000000008</v>
      </c>
      <c r="U9" s="2">
        <f t="shared" si="6"/>
        <v>0.1114610130786797</v>
      </c>
      <c r="V9" s="1">
        <f>792.34/53.67</f>
        <v>14.763182411030371</v>
      </c>
      <c r="W9">
        <v>0.16</v>
      </c>
      <c r="X9">
        <v>0.06</v>
      </c>
      <c r="Y9">
        <v>6.15</v>
      </c>
      <c r="Z9" s="2">
        <f t="shared" si="7"/>
        <v>0.11454482772364784</v>
      </c>
      <c r="AA9" s="6">
        <v>0.63</v>
      </c>
      <c r="AB9" s="2">
        <f t="shared" si="1"/>
        <v>7.9545454545454544E-2</v>
      </c>
      <c r="AC9" s="2">
        <v>0.54500000000000004</v>
      </c>
      <c r="AD9">
        <v>1.58</v>
      </c>
      <c r="AE9" s="6">
        <v>1.1599999999999999</v>
      </c>
      <c r="AF9" s="2">
        <f t="shared" si="2"/>
        <v>6.8660436137071651E-2</v>
      </c>
      <c r="AG9" s="2">
        <f>1.16/2.05</f>
        <v>0.56585365853658542</v>
      </c>
      <c r="AH9">
        <v>1.1599999999999999</v>
      </c>
      <c r="AI9">
        <v>0.74</v>
      </c>
      <c r="AJ9" s="2">
        <v>0.51900000000000002</v>
      </c>
      <c r="AK9" s="6">
        <v>0.37</v>
      </c>
      <c r="AL9">
        <v>4.1500000000000004</v>
      </c>
      <c r="AM9">
        <v>67.709999999999994</v>
      </c>
      <c r="AN9" s="14">
        <f t="shared" si="3"/>
        <v>9.9325216370837591E-2</v>
      </c>
      <c r="AO9" t="s">
        <v>181</v>
      </c>
      <c r="AP9" t="s">
        <v>280</v>
      </c>
    </row>
    <row r="10" spans="1:42" x14ac:dyDescent="0.2">
      <c r="A10" t="s">
        <v>36</v>
      </c>
      <c r="B10">
        <v>28</v>
      </c>
      <c r="C10" t="s">
        <v>41</v>
      </c>
      <c r="D10" s="1">
        <v>1.54</v>
      </c>
      <c r="E10" s="1">
        <v>15.736842105263158</v>
      </c>
      <c r="F10" s="1">
        <v>633.1</v>
      </c>
      <c r="G10" s="1">
        <v>8.42</v>
      </c>
      <c r="H10" s="1">
        <v>449.1</v>
      </c>
      <c r="I10" t="s">
        <v>24</v>
      </c>
      <c r="J10" t="s">
        <v>25</v>
      </c>
      <c r="K10" t="s">
        <v>26</v>
      </c>
      <c r="L10">
        <v>17.600000000000001</v>
      </c>
      <c r="M10" s="6">
        <v>0.33</v>
      </c>
      <c r="N10" s="2">
        <f t="shared" si="4"/>
        <v>0.2142857142857143</v>
      </c>
      <c r="O10">
        <v>0.4</v>
      </c>
      <c r="P10" s="2">
        <f t="shared" si="5"/>
        <v>0.25974025974025977</v>
      </c>
      <c r="Q10" s="5">
        <v>2.16</v>
      </c>
      <c r="R10">
        <v>32.74</v>
      </c>
      <c r="S10" s="2">
        <v>0.78200000000000003</v>
      </c>
      <c r="T10" s="1">
        <f t="shared" si="0"/>
        <v>25.602680000000003</v>
      </c>
      <c r="U10" s="2">
        <f t="shared" si="6"/>
        <v>5.700886216878201E-2</v>
      </c>
      <c r="V10" s="1">
        <f>350.81/25.59</f>
        <v>13.708870652598671</v>
      </c>
      <c r="W10">
        <v>0.11</v>
      </c>
      <c r="X10">
        <v>0.11</v>
      </c>
      <c r="Y10">
        <v>3.92</v>
      </c>
      <c r="Z10" s="2">
        <f t="shared" si="7"/>
        <v>0.15310897140455607</v>
      </c>
      <c r="AA10" s="6">
        <v>0.51</v>
      </c>
      <c r="AB10" s="2">
        <f t="shared" si="1"/>
        <v>6.0570071258907364E-2</v>
      </c>
      <c r="AC10" s="2">
        <v>0.39100000000000001</v>
      </c>
      <c r="AD10">
        <v>0.62</v>
      </c>
      <c r="AE10" s="6">
        <v>1.59</v>
      </c>
      <c r="AF10" s="2">
        <f t="shared" si="2"/>
        <v>0.10103678929765887</v>
      </c>
      <c r="AG10" s="2">
        <f>1.59/2.61</f>
        <v>0.60919540229885061</v>
      </c>
      <c r="AH10">
        <v>1.02</v>
      </c>
      <c r="AI10">
        <v>3.35</v>
      </c>
      <c r="AJ10" s="2">
        <v>0.51800000000000002</v>
      </c>
      <c r="AK10" s="6">
        <v>0.85</v>
      </c>
      <c r="AL10">
        <v>5.33</v>
      </c>
      <c r="AM10">
        <v>44.43</v>
      </c>
      <c r="AN10" s="14">
        <f t="shared" si="3"/>
        <v>7.0178486810930335E-2</v>
      </c>
      <c r="AO10" t="s">
        <v>182</v>
      </c>
      <c r="AP10" t="s">
        <v>281</v>
      </c>
    </row>
    <row r="11" spans="1:42" x14ac:dyDescent="0.2">
      <c r="A11" t="s">
        <v>37</v>
      </c>
      <c r="B11">
        <v>25</v>
      </c>
      <c r="C11" t="s">
        <v>41</v>
      </c>
      <c r="D11" s="1">
        <v>1.54</v>
      </c>
      <c r="E11" s="1">
        <v>15.736842105263158</v>
      </c>
      <c r="F11" s="1">
        <v>633.1</v>
      </c>
      <c r="G11" s="1">
        <v>8.42</v>
      </c>
      <c r="H11" s="1">
        <v>449.1</v>
      </c>
      <c r="I11" t="s">
        <v>24</v>
      </c>
      <c r="J11" t="s">
        <v>25</v>
      </c>
      <c r="K11" t="s">
        <v>26</v>
      </c>
      <c r="L11">
        <v>31.4</v>
      </c>
      <c r="M11" s="6">
        <v>0.11</v>
      </c>
      <c r="N11" s="2">
        <f t="shared" si="4"/>
        <v>7.1428571428571425E-2</v>
      </c>
      <c r="O11">
        <v>0.13</v>
      </c>
      <c r="P11" s="2">
        <f t="shared" si="5"/>
        <v>8.4415584415584416E-2</v>
      </c>
      <c r="Q11" s="5">
        <v>1.53</v>
      </c>
      <c r="R11">
        <v>52.57</v>
      </c>
      <c r="S11" s="2">
        <v>0.83399999999999996</v>
      </c>
      <c r="T11" s="1">
        <f t="shared" si="0"/>
        <v>43.843379999999996</v>
      </c>
      <c r="U11" s="2">
        <f t="shared" si="6"/>
        <v>9.7624983299933188E-2</v>
      </c>
      <c r="V11" s="1">
        <f>745.55/43.84</f>
        <v>17.006158759124084</v>
      </c>
      <c r="W11">
        <v>0.22</v>
      </c>
      <c r="X11">
        <v>0.21</v>
      </c>
      <c r="Y11">
        <v>6.12</v>
      </c>
      <c r="Z11" s="2">
        <f t="shared" si="7"/>
        <v>0.13958777813206921</v>
      </c>
      <c r="AA11" s="6">
        <v>0.45</v>
      </c>
      <c r="AB11" s="2">
        <f t="shared" si="1"/>
        <v>5.3444180522565325E-2</v>
      </c>
      <c r="AC11" s="2">
        <v>0.48299999999999998</v>
      </c>
      <c r="AD11">
        <v>2.87</v>
      </c>
      <c r="AE11" s="6">
        <v>0.8</v>
      </c>
      <c r="AF11" s="2">
        <f t="shared" si="2"/>
        <v>5.0836120401337795E-2</v>
      </c>
      <c r="AG11" s="2">
        <f>0.8/1.69</f>
        <v>0.47337278106508879</v>
      </c>
      <c r="AH11">
        <v>0.86</v>
      </c>
      <c r="AI11">
        <v>1.18</v>
      </c>
      <c r="AJ11" s="2">
        <v>0.59699999999999998</v>
      </c>
      <c r="AK11" s="6">
        <v>0.8</v>
      </c>
      <c r="AL11">
        <v>2.99</v>
      </c>
      <c r="AM11">
        <v>62.06</v>
      </c>
      <c r="AN11" s="14">
        <f t="shared" si="3"/>
        <v>9.8025588374664352E-2</v>
      </c>
      <c r="AO11" t="s">
        <v>183</v>
      </c>
      <c r="AP11" t="s">
        <v>281</v>
      </c>
    </row>
    <row r="12" spans="1:42" x14ac:dyDescent="0.2">
      <c r="A12" t="s">
        <v>38</v>
      </c>
      <c r="B12">
        <v>25</v>
      </c>
      <c r="C12" t="s">
        <v>41</v>
      </c>
      <c r="D12" s="1">
        <v>1.54</v>
      </c>
      <c r="E12" s="1">
        <v>15.736842105263158</v>
      </c>
      <c r="F12" s="1">
        <v>633.1</v>
      </c>
      <c r="G12" s="1">
        <v>8.42</v>
      </c>
      <c r="H12" s="1">
        <v>449.1</v>
      </c>
      <c r="I12" t="s">
        <v>24</v>
      </c>
      <c r="J12" t="s">
        <v>25</v>
      </c>
      <c r="K12" t="s">
        <v>26</v>
      </c>
      <c r="L12">
        <v>25.8</v>
      </c>
      <c r="M12" s="6">
        <v>0.15</v>
      </c>
      <c r="N12" s="2">
        <f t="shared" si="4"/>
        <v>9.7402597402597393E-2</v>
      </c>
      <c r="O12">
        <v>0.22</v>
      </c>
      <c r="P12" s="2">
        <f t="shared" si="5"/>
        <v>0.14285714285714285</v>
      </c>
      <c r="Q12" s="5">
        <v>1.86</v>
      </c>
      <c r="R12">
        <v>58.03</v>
      </c>
      <c r="S12" s="2">
        <v>0.82499999999999996</v>
      </c>
      <c r="T12" s="1">
        <f t="shared" si="0"/>
        <v>47.874749999999999</v>
      </c>
      <c r="U12" s="2">
        <f t="shared" si="6"/>
        <v>0.10660153640614561</v>
      </c>
      <c r="V12" s="1">
        <f>744.66/47.88</f>
        <v>15.552631578947366</v>
      </c>
      <c r="W12">
        <v>0.31</v>
      </c>
      <c r="X12">
        <v>0.19</v>
      </c>
      <c r="Y12">
        <v>9.99</v>
      </c>
      <c r="Z12" s="2">
        <f t="shared" si="7"/>
        <v>0.20866949696865258</v>
      </c>
      <c r="AA12" s="6">
        <v>0.97</v>
      </c>
      <c r="AB12" s="2">
        <f t="shared" si="1"/>
        <v>0.11520190023752969</v>
      </c>
      <c r="AC12" s="2">
        <v>0.42399999999999999</v>
      </c>
      <c r="AD12">
        <v>3.56</v>
      </c>
      <c r="AE12" s="6">
        <v>0.43</v>
      </c>
      <c r="AF12" s="2">
        <f t="shared" si="2"/>
        <v>2.7324414715719062E-2</v>
      </c>
      <c r="AG12" s="9">
        <f>0.43/0.74</f>
        <v>0.58108108108108103</v>
      </c>
      <c r="AH12">
        <v>0.19</v>
      </c>
      <c r="AI12">
        <v>0.31</v>
      </c>
      <c r="AJ12" s="2">
        <v>0.53300000000000003</v>
      </c>
      <c r="AK12" s="6">
        <v>0.23</v>
      </c>
      <c r="AL12">
        <v>5.96</v>
      </c>
      <c r="AM12">
        <v>65.569999999999993</v>
      </c>
      <c r="AN12" s="14">
        <f t="shared" si="3"/>
        <v>0.10356973621860684</v>
      </c>
      <c r="AO12" t="s">
        <v>184</v>
      </c>
      <c r="AP12" t="s">
        <v>281</v>
      </c>
    </row>
    <row r="13" spans="1:42" x14ac:dyDescent="0.2">
      <c r="A13" t="s">
        <v>39</v>
      </c>
      <c r="B13">
        <v>32</v>
      </c>
      <c r="C13" t="s">
        <v>41</v>
      </c>
      <c r="D13" s="1">
        <v>1.54</v>
      </c>
      <c r="E13" s="1">
        <v>15.736842105263158</v>
      </c>
      <c r="F13" s="1">
        <v>633.1</v>
      </c>
      <c r="G13" s="1">
        <v>8.42</v>
      </c>
      <c r="H13" s="1">
        <v>449.1</v>
      </c>
      <c r="I13" t="s">
        <v>24</v>
      </c>
      <c r="J13" t="s">
        <v>25</v>
      </c>
      <c r="K13" t="s">
        <v>26</v>
      </c>
      <c r="L13">
        <v>7.8</v>
      </c>
      <c r="M13" s="6">
        <v>0.01</v>
      </c>
      <c r="N13" s="2">
        <f t="shared" si="4"/>
        <v>6.4935064935064931E-3</v>
      </c>
      <c r="O13">
        <v>0</v>
      </c>
      <c r="P13" s="2">
        <f t="shared" si="5"/>
        <v>0</v>
      </c>
      <c r="Q13" s="5">
        <v>0.26</v>
      </c>
      <c r="R13">
        <v>60.6</v>
      </c>
      <c r="S13" s="2">
        <v>0.86699999999999999</v>
      </c>
      <c r="T13" s="1">
        <f t="shared" si="0"/>
        <v>52.540199999999999</v>
      </c>
      <c r="U13" s="2">
        <f t="shared" si="6"/>
        <v>0.11698997995991983</v>
      </c>
      <c r="V13" s="1">
        <f>826.88/52.54</f>
        <v>15.738104301484583</v>
      </c>
      <c r="W13">
        <v>0</v>
      </c>
      <c r="X13">
        <v>0.05</v>
      </c>
      <c r="Y13">
        <v>6.14</v>
      </c>
      <c r="Z13" s="2">
        <f t="shared" si="7"/>
        <v>0.1168628973624006</v>
      </c>
      <c r="AA13" s="6">
        <v>0.13</v>
      </c>
      <c r="AB13" s="2">
        <f t="shared" si="1"/>
        <v>1.5439429928741094E-2</v>
      </c>
      <c r="AC13" s="2">
        <v>0.25</v>
      </c>
      <c r="AD13">
        <v>1.53</v>
      </c>
      <c r="AE13" s="6">
        <v>0.51</v>
      </c>
      <c r="AF13" s="2">
        <f t="shared" si="2"/>
        <v>3.2408026755852845E-2</v>
      </c>
      <c r="AG13" s="8">
        <f>0.51/1.53</f>
        <v>0.33333333333333331</v>
      </c>
      <c r="AH13">
        <v>0.38</v>
      </c>
      <c r="AI13">
        <v>0.13</v>
      </c>
      <c r="AJ13" s="2">
        <v>0.14300000000000002</v>
      </c>
      <c r="AK13" s="6">
        <v>0.89</v>
      </c>
      <c r="AL13">
        <v>0.77</v>
      </c>
      <c r="AM13">
        <v>66.73</v>
      </c>
      <c r="AN13" s="14">
        <f t="shared" si="3"/>
        <v>0.10540199020691834</v>
      </c>
      <c r="AO13" t="s">
        <v>185</v>
      </c>
      <c r="AP13" t="s">
        <v>281</v>
      </c>
    </row>
    <row r="14" spans="1:42" x14ac:dyDescent="0.2">
      <c r="A14" t="s">
        <v>40</v>
      </c>
      <c r="B14">
        <v>31</v>
      </c>
      <c r="C14" t="s">
        <v>41</v>
      </c>
      <c r="D14" s="1">
        <v>1.54</v>
      </c>
      <c r="E14" s="1">
        <v>15.7368421052632</v>
      </c>
      <c r="F14" s="1">
        <v>633.1</v>
      </c>
      <c r="G14" s="1">
        <v>8.42</v>
      </c>
      <c r="H14" s="1">
        <v>449.1</v>
      </c>
      <c r="I14" t="s">
        <v>24</v>
      </c>
      <c r="J14" t="s">
        <v>25</v>
      </c>
      <c r="K14" t="s">
        <v>26</v>
      </c>
      <c r="L14">
        <v>31.1</v>
      </c>
      <c r="M14" s="6">
        <v>7.0000000000000007E-2</v>
      </c>
      <c r="N14" s="2">
        <f t="shared" si="4"/>
        <v>4.5454545454545456E-2</v>
      </c>
      <c r="O14">
        <v>0.13</v>
      </c>
      <c r="P14" s="2">
        <f t="shared" si="5"/>
        <v>8.4415584415584416E-2</v>
      </c>
      <c r="Q14" s="5">
        <v>0.84</v>
      </c>
      <c r="R14">
        <v>61.78</v>
      </c>
      <c r="S14" s="2">
        <v>0.874</v>
      </c>
      <c r="T14" s="1">
        <f t="shared" si="0"/>
        <v>53.995719999999999</v>
      </c>
      <c r="U14" s="2">
        <f t="shared" si="6"/>
        <v>0.12023095079046982</v>
      </c>
      <c r="V14" s="1">
        <f>859.04/53.99</f>
        <v>15.911094647156879</v>
      </c>
      <c r="W14">
        <v>0.06</v>
      </c>
      <c r="X14">
        <v>7.0000000000000007E-2</v>
      </c>
      <c r="Y14">
        <v>5.95</v>
      </c>
      <c r="Z14" s="2">
        <f t="shared" si="7"/>
        <v>0.11019391907358583</v>
      </c>
      <c r="AA14" s="6">
        <v>0.77</v>
      </c>
      <c r="AB14" s="2">
        <f t="shared" si="1"/>
        <v>9.1448931116389548E-2</v>
      </c>
      <c r="AC14" s="2">
        <v>0.68599999999999994</v>
      </c>
      <c r="AD14">
        <v>1.1599999999999999</v>
      </c>
      <c r="AE14" s="6">
        <v>1.71</v>
      </c>
      <c r="AF14" s="2">
        <f t="shared" si="2"/>
        <v>0.10866220735785924</v>
      </c>
      <c r="AG14" s="9">
        <f>1.71/2.86</f>
        <v>0.59790209790209792</v>
      </c>
      <c r="AH14">
        <v>0.93</v>
      </c>
      <c r="AI14">
        <v>0.9</v>
      </c>
      <c r="AJ14" s="2">
        <v>0.50900000000000001</v>
      </c>
      <c r="AK14" s="6">
        <v>1.1299999999999999</v>
      </c>
      <c r="AL14">
        <v>1.54</v>
      </c>
      <c r="AM14">
        <v>70.56</v>
      </c>
      <c r="AN14" s="14">
        <f t="shared" si="3"/>
        <v>0.11145158742694677</v>
      </c>
      <c r="AO14" t="s">
        <v>186</v>
      </c>
      <c r="AP14" t="s">
        <v>281</v>
      </c>
    </row>
    <row r="15" spans="1:42" x14ac:dyDescent="0.2">
      <c r="A15" s="10" t="s">
        <v>42</v>
      </c>
      <c r="B15" s="10">
        <v>29</v>
      </c>
      <c r="C15" s="10" t="s">
        <v>48</v>
      </c>
      <c r="D15" s="1">
        <v>1.71</v>
      </c>
      <c r="E15" s="1">
        <v>13.078947368421053</v>
      </c>
      <c r="F15" s="1">
        <v>739.6</v>
      </c>
      <c r="G15" s="1">
        <v>9.92</v>
      </c>
      <c r="H15" s="1">
        <v>566.6</v>
      </c>
      <c r="I15" t="s">
        <v>24</v>
      </c>
      <c r="J15" t="s">
        <v>25</v>
      </c>
      <c r="K15" t="s">
        <v>26</v>
      </c>
      <c r="L15" s="10">
        <v>29.7</v>
      </c>
      <c r="M15" s="6">
        <v>0.13</v>
      </c>
      <c r="N15" s="2">
        <f t="shared" si="4"/>
        <v>7.6023391812865507E-2</v>
      </c>
      <c r="O15">
        <v>0.13</v>
      </c>
      <c r="P15" s="2">
        <f t="shared" si="5"/>
        <v>7.6023391812865507E-2</v>
      </c>
      <c r="Q15" s="5">
        <v>1.08</v>
      </c>
      <c r="R15">
        <v>60.1</v>
      </c>
      <c r="S15" s="2">
        <v>0.86799999999999999</v>
      </c>
      <c r="T15" s="1">
        <f t="shared" si="0"/>
        <v>52.166800000000002</v>
      </c>
      <c r="U15" s="2">
        <f t="shared" si="6"/>
        <v>9.2069890575361801E-2</v>
      </c>
      <c r="V15" s="1">
        <f>797.06/52.15</f>
        <v>15.283988494726749</v>
      </c>
      <c r="W15">
        <v>0.13</v>
      </c>
      <c r="X15">
        <v>0.17</v>
      </c>
      <c r="Y15">
        <v>4.5199999999999996</v>
      </c>
      <c r="Z15" s="2">
        <f t="shared" si="7"/>
        <v>8.66451459548985E-2</v>
      </c>
      <c r="AA15" s="6">
        <v>0.94</v>
      </c>
      <c r="AB15" s="2">
        <f t="shared" si="1"/>
        <v>9.4758064516129031E-2</v>
      </c>
      <c r="AC15" s="2">
        <v>0.45900000000000002</v>
      </c>
      <c r="AD15">
        <v>3.4</v>
      </c>
      <c r="AE15" s="6">
        <v>1.25</v>
      </c>
      <c r="AF15" s="2">
        <f t="shared" si="2"/>
        <v>9.5573440643863181E-2</v>
      </c>
      <c r="AG15" s="9">
        <f>1.25/1.89</f>
        <v>0.66137566137566139</v>
      </c>
      <c r="AH15">
        <v>1.21</v>
      </c>
      <c r="AI15">
        <v>0.17</v>
      </c>
      <c r="AJ15" s="2">
        <v>0.33300000000000002</v>
      </c>
      <c r="AK15" s="6">
        <v>0.78</v>
      </c>
      <c r="AL15">
        <v>6.74</v>
      </c>
      <c r="AM15">
        <v>69.239999999999995</v>
      </c>
      <c r="AN15" s="14">
        <f t="shared" si="3"/>
        <v>9.3618171984856668E-2</v>
      </c>
      <c r="AO15" t="s">
        <v>187</v>
      </c>
      <c r="AP15" t="s">
        <v>282</v>
      </c>
    </row>
    <row r="16" spans="1:42" x14ac:dyDescent="0.2">
      <c r="A16" s="10" t="s">
        <v>43</v>
      </c>
      <c r="B16" s="10">
        <v>24</v>
      </c>
      <c r="C16" s="10" t="s">
        <v>48</v>
      </c>
      <c r="D16" s="1">
        <v>1.71</v>
      </c>
      <c r="E16" s="1">
        <v>13.078947368421053</v>
      </c>
      <c r="F16" s="1">
        <v>739.6</v>
      </c>
      <c r="G16" s="1">
        <v>9.92</v>
      </c>
      <c r="H16" s="1">
        <v>566.6</v>
      </c>
      <c r="I16" t="s">
        <v>24</v>
      </c>
      <c r="J16" t="s">
        <v>25</v>
      </c>
      <c r="K16" t="s">
        <v>26</v>
      </c>
      <c r="L16" s="10">
        <v>19.7</v>
      </c>
      <c r="M16" s="6">
        <v>0.26</v>
      </c>
      <c r="N16" s="2">
        <f t="shared" si="4"/>
        <v>0.15204678362573101</v>
      </c>
      <c r="O16">
        <v>0.35</v>
      </c>
      <c r="P16" s="2">
        <f t="shared" si="5"/>
        <v>0.2046783625730994</v>
      </c>
      <c r="Q16" s="5">
        <v>2.73</v>
      </c>
      <c r="R16">
        <v>47.66</v>
      </c>
      <c r="S16" s="2">
        <v>0.84099999999999997</v>
      </c>
      <c r="T16" s="1">
        <f t="shared" si="0"/>
        <v>40.082059999999998</v>
      </c>
      <c r="U16" s="2">
        <f t="shared" si="6"/>
        <v>7.0741369572890928E-2</v>
      </c>
      <c r="V16" s="1">
        <f>627.27/40.06</f>
        <v>15.658262606090862</v>
      </c>
      <c r="W16">
        <v>0.1</v>
      </c>
      <c r="X16">
        <v>0.24</v>
      </c>
      <c r="Y16">
        <v>5.22</v>
      </c>
      <c r="Z16" s="2">
        <f t="shared" si="7"/>
        <v>0.13023282735468186</v>
      </c>
      <c r="AA16" s="6">
        <v>0.71</v>
      </c>
      <c r="AB16" s="2">
        <f t="shared" si="1"/>
        <v>7.1572580645161282E-2</v>
      </c>
      <c r="AC16" s="2">
        <v>0.32600000000000001</v>
      </c>
      <c r="AD16">
        <v>2.5299999999999998</v>
      </c>
      <c r="AE16" s="6">
        <v>0.25</v>
      </c>
      <c r="AF16" s="2">
        <f t="shared" si="2"/>
        <v>1.9114688128772636E-2</v>
      </c>
      <c r="AG16" s="9">
        <f>0.25/0.66</f>
        <v>0.37878787878787878</v>
      </c>
      <c r="AH16">
        <v>0.66</v>
      </c>
      <c r="AI16">
        <v>0.15</v>
      </c>
      <c r="AJ16" s="3">
        <v>0.25</v>
      </c>
      <c r="AK16" s="6">
        <v>0.46</v>
      </c>
      <c r="AL16">
        <v>6.48</v>
      </c>
      <c r="AM16">
        <v>57.69</v>
      </c>
      <c r="AN16" s="14">
        <f t="shared" si="3"/>
        <v>7.8001622498647907E-2</v>
      </c>
      <c r="AO16" t="s">
        <v>188</v>
      </c>
      <c r="AP16" t="s">
        <v>282</v>
      </c>
    </row>
    <row r="17" spans="1:42" x14ac:dyDescent="0.2">
      <c r="A17" s="10" t="s">
        <v>44</v>
      </c>
      <c r="B17" s="10">
        <v>33</v>
      </c>
      <c r="C17" s="10" t="s">
        <v>48</v>
      </c>
      <c r="D17" s="1">
        <v>1.71</v>
      </c>
      <c r="E17" s="1">
        <v>13.078947368421053</v>
      </c>
      <c r="F17" s="1">
        <v>739.6</v>
      </c>
      <c r="G17" s="1">
        <v>9.92</v>
      </c>
      <c r="H17" s="1">
        <v>566.6</v>
      </c>
      <c r="I17" t="s">
        <v>24</v>
      </c>
      <c r="J17" t="s">
        <v>25</v>
      </c>
      <c r="K17" t="s">
        <v>26</v>
      </c>
      <c r="L17" s="10">
        <v>18.899999999999999</v>
      </c>
      <c r="M17" s="6">
        <v>0.27</v>
      </c>
      <c r="N17" s="2">
        <f t="shared" si="4"/>
        <v>0.15789473684210528</v>
      </c>
      <c r="O17">
        <v>0.21</v>
      </c>
      <c r="P17" s="2">
        <f t="shared" si="5"/>
        <v>0.12280701754385964</v>
      </c>
      <c r="Q17" s="5">
        <v>3.01</v>
      </c>
      <c r="R17">
        <v>63.24</v>
      </c>
      <c r="S17" s="2">
        <v>0.75900000000000001</v>
      </c>
      <c r="T17" s="1">
        <f t="shared" si="0"/>
        <v>47.999160000000003</v>
      </c>
      <c r="U17" s="2">
        <f t="shared" si="6"/>
        <v>8.4714366396046598E-2</v>
      </c>
      <c r="V17" s="1">
        <f>818.94/48.01</f>
        <v>17.057696313268071</v>
      </c>
      <c r="W17">
        <v>0.37</v>
      </c>
      <c r="X17">
        <v>0.42</v>
      </c>
      <c r="Y17">
        <v>8.3000000000000007</v>
      </c>
      <c r="Z17" s="2">
        <f t="shared" si="7"/>
        <v>0.17291969276128999</v>
      </c>
      <c r="AA17" s="6">
        <v>0.69</v>
      </c>
      <c r="AB17" s="2">
        <f t="shared" si="1"/>
        <v>6.955645161290322E-2</v>
      </c>
      <c r="AC17" s="11">
        <v>0.38200000000000001</v>
      </c>
      <c r="AD17">
        <v>2.7</v>
      </c>
      <c r="AE17" s="6">
        <v>0.48</v>
      </c>
      <c r="AF17" s="2">
        <f t="shared" si="2"/>
        <v>3.670020120724346E-2</v>
      </c>
      <c r="AG17" s="9">
        <f>0.48/0.9</f>
        <v>0.53333333333333333</v>
      </c>
      <c r="AH17">
        <v>0.42</v>
      </c>
      <c r="AI17">
        <v>0.26</v>
      </c>
      <c r="AJ17" s="2">
        <v>0.23799999999999999</v>
      </c>
      <c r="AK17" s="6">
        <v>0.37</v>
      </c>
      <c r="AL17">
        <v>7.93</v>
      </c>
      <c r="AM17">
        <v>72.34</v>
      </c>
      <c r="AN17" s="14">
        <f t="shared" si="3"/>
        <v>9.7809626825310983E-2</v>
      </c>
      <c r="AO17" t="s">
        <v>189</v>
      </c>
      <c r="AP17" t="s">
        <v>282</v>
      </c>
    </row>
    <row r="18" spans="1:42" x14ac:dyDescent="0.2">
      <c r="A18" s="10" t="s">
        <v>45</v>
      </c>
      <c r="B18" s="10">
        <v>33</v>
      </c>
      <c r="C18" s="10" t="s">
        <v>48</v>
      </c>
      <c r="D18" s="1">
        <v>1.71</v>
      </c>
      <c r="E18" s="1">
        <v>13.078947368421053</v>
      </c>
      <c r="F18" s="1">
        <v>739.6</v>
      </c>
      <c r="G18" s="1">
        <v>9.92</v>
      </c>
      <c r="H18" s="1">
        <v>566.6</v>
      </c>
      <c r="I18" t="s">
        <v>24</v>
      </c>
      <c r="J18" t="s">
        <v>25</v>
      </c>
      <c r="K18" t="s">
        <v>26</v>
      </c>
      <c r="L18" s="10">
        <v>24.6</v>
      </c>
      <c r="M18" s="6">
        <v>0.13</v>
      </c>
      <c r="N18" s="2">
        <f t="shared" si="4"/>
        <v>7.6023391812865507E-2</v>
      </c>
      <c r="O18">
        <v>0.04</v>
      </c>
      <c r="P18" s="2">
        <f t="shared" si="5"/>
        <v>2.3391812865497078E-2</v>
      </c>
      <c r="Q18" s="5">
        <v>1.0900000000000001</v>
      </c>
      <c r="R18">
        <v>68.95</v>
      </c>
      <c r="S18" s="2">
        <v>0.89500000000000002</v>
      </c>
      <c r="T18" s="1">
        <f t="shared" si="0"/>
        <v>61.710250000000002</v>
      </c>
      <c r="U18" s="2">
        <f t="shared" si="6"/>
        <v>0.10891325450052948</v>
      </c>
      <c r="V18" s="1">
        <f>955.47/61.74</f>
        <v>15.475704567541301</v>
      </c>
      <c r="W18">
        <v>0.24</v>
      </c>
      <c r="X18">
        <v>0.14000000000000001</v>
      </c>
      <c r="Y18">
        <v>5.14</v>
      </c>
      <c r="Z18" s="2">
        <f t="shared" si="7"/>
        <v>8.3292483825620531E-2</v>
      </c>
      <c r="AA18" s="6">
        <v>0.69</v>
      </c>
      <c r="AB18" s="2">
        <f t="shared" si="1"/>
        <v>6.955645161290322E-2</v>
      </c>
      <c r="AC18" s="2">
        <v>0.41499999999999998</v>
      </c>
      <c r="AD18">
        <v>2.59</v>
      </c>
      <c r="AE18" s="6">
        <v>0.53</v>
      </c>
      <c r="AF18" s="2">
        <f t="shared" si="2"/>
        <v>4.052313883299799E-2</v>
      </c>
      <c r="AG18" s="9">
        <f>0.53/1.01</f>
        <v>0.52475247524752477</v>
      </c>
      <c r="AH18">
        <v>0.61</v>
      </c>
      <c r="AI18">
        <v>0.56999999999999995</v>
      </c>
      <c r="AJ18" s="3">
        <v>0.56000000000000005</v>
      </c>
      <c r="AK18" s="6">
        <v>0.53</v>
      </c>
      <c r="AL18">
        <v>3.89</v>
      </c>
      <c r="AM18">
        <v>76.599999999999994</v>
      </c>
      <c r="AN18" s="14">
        <f t="shared" si="3"/>
        <v>0.10356949702541914</v>
      </c>
      <c r="AO18" t="s">
        <v>190</v>
      </c>
      <c r="AP18" t="s">
        <v>282</v>
      </c>
    </row>
    <row r="19" spans="1:42" x14ac:dyDescent="0.2">
      <c r="A19" s="10" t="s">
        <v>46</v>
      </c>
      <c r="B19" s="10">
        <v>30</v>
      </c>
      <c r="C19" s="10" t="s">
        <v>48</v>
      </c>
      <c r="D19" s="1">
        <v>1.71</v>
      </c>
      <c r="E19" s="1">
        <v>13.078947368421053</v>
      </c>
      <c r="F19" s="1">
        <v>739.6</v>
      </c>
      <c r="G19" s="1">
        <v>9.92</v>
      </c>
      <c r="H19" s="1">
        <v>566.6</v>
      </c>
      <c r="I19" t="s">
        <v>24</v>
      </c>
      <c r="J19" t="s">
        <v>25</v>
      </c>
      <c r="K19" t="s">
        <v>26</v>
      </c>
      <c r="L19" s="10">
        <v>24.4</v>
      </c>
      <c r="M19" s="6">
        <v>0.08</v>
      </c>
      <c r="N19" s="2">
        <f t="shared" si="4"/>
        <v>4.6783625730994156E-2</v>
      </c>
      <c r="O19">
        <v>0.17</v>
      </c>
      <c r="P19" s="2">
        <f t="shared" si="5"/>
        <v>9.9415204678362581E-2</v>
      </c>
      <c r="Q19" s="5">
        <v>1.84</v>
      </c>
      <c r="R19">
        <v>77.06</v>
      </c>
      <c r="S19" s="2">
        <v>0.92600000000000005</v>
      </c>
      <c r="T19" s="1">
        <f t="shared" si="0"/>
        <v>71.357560000000007</v>
      </c>
      <c r="U19" s="2">
        <f t="shared" si="6"/>
        <v>0.12593992234380516</v>
      </c>
      <c r="V19" s="1">
        <f>1116.97/71.33</f>
        <v>15.65918968176083</v>
      </c>
      <c r="W19">
        <v>0.08</v>
      </c>
      <c r="X19">
        <v>0.15</v>
      </c>
      <c r="Y19">
        <v>6.72</v>
      </c>
      <c r="Z19" s="2">
        <f t="shared" si="7"/>
        <v>9.4173623649687566E-2</v>
      </c>
      <c r="AA19" s="6">
        <v>0.9</v>
      </c>
      <c r="AB19" s="2">
        <f t="shared" si="1"/>
        <v>9.0725806451612906E-2</v>
      </c>
      <c r="AC19" s="11">
        <f>0.9/1.68</f>
        <v>0.5357142857142857</v>
      </c>
      <c r="AD19">
        <v>2.29</v>
      </c>
      <c r="AE19" s="6">
        <v>1.56</v>
      </c>
      <c r="AF19" s="2">
        <f t="shared" si="2"/>
        <v>0.11927565392354125</v>
      </c>
      <c r="AG19" s="9">
        <f>1.56/2.83</f>
        <v>0.5512367491166078</v>
      </c>
      <c r="AH19">
        <v>0.82</v>
      </c>
      <c r="AI19">
        <v>0.41</v>
      </c>
      <c r="AJ19" s="2">
        <v>0.52600000000000002</v>
      </c>
      <c r="AK19" s="6">
        <v>0.98</v>
      </c>
      <c r="AL19">
        <v>0.66</v>
      </c>
      <c r="AM19">
        <v>86.93</v>
      </c>
      <c r="AN19" s="14">
        <f t="shared" si="3"/>
        <v>0.11753650621957816</v>
      </c>
      <c r="AO19" t="s">
        <v>191</v>
      </c>
      <c r="AP19" t="s">
        <v>282</v>
      </c>
    </row>
    <row r="20" spans="1:42" x14ac:dyDescent="0.2">
      <c r="A20" s="10" t="s">
        <v>47</v>
      </c>
      <c r="B20" s="10">
        <v>22</v>
      </c>
      <c r="C20" s="10" t="s">
        <v>48</v>
      </c>
      <c r="D20" s="1">
        <v>1.71</v>
      </c>
      <c r="E20" s="1">
        <v>13.078947368421053</v>
      </c>
      <c r="F20" s="1">
        <v>739.6</v>
      </c>
      <c r="G20" s="1">
        <v>9.92</v>
      </c>
      <c r="H20" s="1">
        <v>566.6</v>
      </c>
      <c r="I20" t="s">
        <v>24</v>
      </c>
      <c r="J20" t="s">
        <v>25</v>
      </c>
      <c r="K20" t="s">
        <v>26</v>
      </c>
      <c r="L20" s="10">
        <v>8.4</v>
      </c>
      <c r="M20" s="6">
        <v>0.06</v>
      </c>
      <c r="N20" s="2">
        <f t="shared" si="4"/>
        <v>3.5087719298245612E-2</v>
      </c>
      <c r="O20">
        <v>0.12</v>
      </c>
      <c r="P20" s="2">
        <f t="shared" si="5"/>
        <v>7.0175438596491224E-2</v>
      </c>
      <c r="Q20" s="5">
        <v>1.07</v>
      </c>
      <c r="R20">
        <v>74.010000000000005</v>
      </c>
      <c r="S20" s="3">
        <v>0.92</v>
      </c>
      <c r="T20" s="1">
        <f t="shared" si="0"/>
        <v>68.089200000000005</v>
      </c>
      <c r="U20" s="2">
        <f t="shared" si="6"/>
        <v>0.12017154959406989</v>
      </c>
      <c r="V20" s="1">
        <f>1023.51/68.09</f>
        <v>15.031722719929505</v>
      </c>
      <c r="W20">
        <v>0</v>
      </c>
      <c r="X20">
        <v>0.01</v>
      </c>
      <c r="Y20">
        <v>5.92</v>
      </c>
      <c r="Z20" s="2">
        <f t="shared" si="7"/>
        <v>8.6944772445556706E-2</v>
      </c>
      <c r="AA20" s="6">
        <v>0.12</v>
      </c>
      <c r="AB20" s="2">
        <f t="shared" si="1"/>
        <v>1.2096774193548387E-2</v>
      </c>
      <c r="AC20" s="2">
        <v>0.16700000000000001</v>
      </c>
      <c r="AD20">
        <v>1.07</v>
      </c>
      <c r="AE20" s="6">
        <v>0.71</v>
      </c>
      <c r="AF20" s="2">
        <f t="shared" si="2"/>
        <v>5.4285714285714284E-2</v>
      </c>
      <c r="AG20" s="9">
        <f>0.71/1.89</f>
        <v>0.37566137566137564</v>
      </c>
      <c r="AH20">
        <v>1.07</v>
      </c>
      <c r="AI20">
        <v>1.89</v>
      </c>
      <c r="AJ20" s="2">
        <v>0.57099999999999995</v>
      </c>
      <c r="AK20" s="6">
        <v>0.95</v>
      </c>
      <c r="AL20">
        <v>1.3</v>
      </c>
      <c r="AM20">
        <v>84.43</v>
      </c>
      <c r="AN20" s="14">
        <f t="shared" si="3"/>
        <v>0.11415630070308275</v>
      </c>
      <c r="AO20" t="s">
        <v>192</v>
      </c>
      <c r="AP20" t="s">
        <v>282</v>
      </c>
    </row>
    <row r="21" spans="1:42" x14ac:dyDescent="0.2">
      <c r="A21" s="10" t="s">
        <v>49</v>
      </c>
      <c r="B21" s="10">
        <v>27</v>
      </c>
      <c r="C21" s="10" t="s">
        <v>50</v>
      </c>
      <c r="D21" s="1">
        <v>1.57</v>
      </c>
      <c r="E21" s="1">
        <v>15.868421052631579</v>
      </c>
      <c r="F21" s="1">
        <v>606.1</v>
      </c>
      <c r="G21" s="1">
        <v>7.42</v>
      </c>
      <c r="H21" s="1">
        <v>405.7</v>
      </c>
      <c r="I21" t="s">
        <v>24</v>
      </c>
      <c r="J21" t="s">
        <v>25</v>
      </c>
      <c r="K21" t="s">
        <v>26</v>
      </c>
      <c r="L21" s="10">
        <v>26.6</v>
      </c>
      <c r="M21" s="6">
        <v>0.15</v>
      </c>
      <c r="N21" s="2">
        <f t="shared" si="4"/>
        <v>9.5541401273885343E-2</v>
      </c>
      <c r="O21">
        <v>0.15</v>
      </c>
      <c r="P21" s="2">
        <f t="shared" si="5"/>
        <v>9.5541401273885343E-2</v>
      </c>
      <c r="Q21" s="5">
        <v>1.69</v>
      </c>
      <c r="R21">
        <v>39.229999999999997</v>
      </c>
      <c r="S21" s="2">
        <v>0.82699999999999996</v>
      </c>
      <c r="T21" s="1">
        <f t="shared" si="0"/>
        <v>32.443209999999993</v>
      </c>
      <c r="U21" s="2">
        <f t="shared" si="6"/>
        <v>7.9968474242050766E-2</v>
      </c>
      <c r="V21" s="1">
        <f>458.8/32.46</f>
        <v>14.134319162045594</v>
      </c>
      <c r="W21">
        <v>0.11</v>
      </c>
      <c r="X21">
        <v>0.09</v>
      </c>
      <c r="Y21">
        <v>4.3600000000000003</v>
      </c>
      <c r="Z21" s="2">
        <f t="shared" si="7"/>
        <v>0.13438867485677283</v>
      </c>
      <c r="AA21" s="6">
        <v>0.56000000000000005</v>
      </c>
      <c r="AB21" s="2">
        <f t="shared" si="1"/>
        <v>7.5471698113207558E-2</v>
      </c>
      <c r="AC21" s="2">
        <v>0.32600000000000001</v>
      </c>
      <c r="AD21">
        <v>1.5</v>
      </c>
      <c r="AE21" s="6">
        <v>1.32</v>
      </c>
      <c r="AF21" s="2">
        <f t="shared" si="2"/>
        <v>8.3184079601990049E-2</v>
      </c>
      <c r="AG21" s="9">
        <f>1.32/2.14</f>
        <v>0.61682242990654201</v>
      </c>
      <c r="AH21">
        <v>1.39</v>
      </c>
      <c r="AI21">
        <v>2.2200000000000002</v>
      </c>
      <c r="AJ21" s="2">
        <v>0.56200000000000006</v>
      </c>
      <c r="AK21" s="6">
        <v>0.87</v>
      </c>
      <c r="AL21">
        <v>4.1399999999999997</v>
      </c>
      <c r="AM21">
        <v>51.15</v>
      </c>
      <c r="AN21" s="14">
        <f t="shared" si="3"/>
        <v>8.4392014519056258E-2</v>
      </c>
      <c r="AO21" t="s">
        <v>193</v>
      </c>
      <c r="AP21" t="s">
        <v>283</v>
      </c>
    </row>
    <row r="22" spans="1:42" x14ac:dyDescent="0.2">
      <c r="A22" s="10" t="s">
        <v>51</v>
      </c>
      <c r="B22" s="10">
        <v>24</v>
      </c>
      <c r="C22" s="10" t="s">
        <v>50</v>
      </c>
      <c r="D22" s="1">
        <v>1.57</v>
      </c>
      <c r="E22" s="1">
        <v>15.868421052631579</v>
      </c>
      <c r="F22" s="1">
        <v>606.1</v>
      </c>
      <c r="G22" s="1">
        <v>7.42</v>
      </c>
      <c r="H22" s="1">
        <v>405.7</v>
      </c>
      <c r="I22" t="s">
        <v>24</v>
      </c>
      <c r="J22" t="s">
        <v>25</v>
      </c>
      <c r="K22" t="s">
        <v>26</v>
      </c>
      <c r="L22" s="10">
        <v>12.1</v>
      </c>
      <c r="M22" s="6">
        <v>0.13</v>
      </c>
      <c r="N22" s="2">
        <f t="shared" si="4"/>
        <v>8.2802547770700632E-2</v>
      </c>
      <c r="O22">
        <v>0</v>
      </c>
      <c r="P22" s="2">
        <f t="shared" si="5"/>
        <v>0</v>
      </c>
      <c r="Q22" s="5">
        <v>1.49</v>
      </c>
      <c r="R22">
        <v>30.08</v>
      </c>
      <c r="S22" s="2">
        <v>0.82599999999999996</v>
      </c>
      <c r="T22" s="1">
        <f t="shared" si="0"/>
        <v>24.846079999999997</v>
      </c>
      <c r="U22" s="2">
        <f t="shared" si="6"/>
        <v>6.1242494454030065E-2</v>
      </c>
      <c r="V22" s="1">
        <f>354.86/24.86</f>
        <v>14.274336283185841</v>
      </c>
      <c r="W22">
        <v>0.17</v>
      </c>
      <c r="X22">
        <v>0.17</v>
      </c>
      <c r="Y22">
        <v>3.4</v>
      </c>
      <c r="Z22" s="2">
        <f t="shared" si="7"/>
        <v>0.13684251197774458</v>
      </c>
      <c r="AA22" s="6">
        <v>0.99</v>
      </c>
      <c r="AB22" s="2">
        <f t="shared" si="1"/>
        <v>0.13342318059299191</v>
      </c>
      <c r="AC22" s="11">
        <v>0.34100000000000003</v>
      </c>
      <c r="AD22">
        <v>3.15</v>
      </c>
      <c r="AE22" s="6">
        <v>1.41</v>
      </c>
      <c r="AF22" s="2">
        <f t="shared" si="2"/>
        <v>8.8855721393034826E-2</v>
      </c>
      <c r="AG22" s="9">
        <f>1.41/2.49</f>
        <v>0.56626506024096379</v>
      </c>
      <c r="AH22">
        <v>1.99</v>
      </c>
      <c r="AI22">
        <v>0.41</v>
      </c>
      <c r="AJ22" s="2">
        <v>0.26300000000000001</v>
      </c>
      <c r="AK22" s="6">
        <v>0.5</v>
      </c>
      <c r="AL22">
        <v>7.13</v>
      </c>
      <c r="AM22">
        <v>44.17</v>
      </c>
      <c r="AN22" s="14">
        <f t="shared" si="3"/>
        <v>7.2875763075400099E-2</v>
      </c>
      <c r="AO22" t="s">
        <v>194</v>
      </c>
      <c r="AP22" t="s">
        <v>283</v>
      </c>
    </row>
    <row r="23" spans="1:42" x14ac:dyDescent="0.2">
      <c r="A23" s="10" t="s">
        <v>52</v>
      </c>
      <c r="B23" s="10">
        <v>26</v>
      </c>
      <c r="C23" s="10" t="s">
        <v>50</v>
      </c>
      <c r="D23" s="1">
        <v>1.57</v>
      </c>
      <c r="E23" s="1">
        <v>15.868421052631579</v>
      </c>
      <c r="F23" s="1">
        <v>606.1</v>
      </c>
      <c r="G23" s="1">
        <v>7.42</v>
      </c>
      <c r="H23" s="1">
        <v>405.7</v>
      </c>
      <c r="I23" t="s">
        <v>24</v>
      </c>
      <c r="J23" t="s">
        <v>25</v>
      </c>
      <c r="K23" t="s">
        <v>26</v>
      </c>
      <c r="L23" s="10">
        <v>36.299999999999997</v>
      </c>
      <c r="M23" s="6">
        <v>0.12</v>
      </c>
      <c r="N23" s="2">
        <f t="shared" si="4"/>
        <v>7.6433121019108277E-2</v>
      </c>
      <c r="O23">
        <v>0.14000000000000001</v>
      </c>
      <c r="P23" s="2">
        <f t="shared" si="5"/>
        <v>8.9171974522293002E-2</v>
      </c>
      <c r="Q23" s="5">
        <v>1.24</v>
      </c>
      <c r="R23">
        <v>49.47</v>
      </c>
      <c r="S23" s="2">
        <v>0.82399999999999995</v>
      </c>
      <c r="T23" s="1">
        <f t="shared" si="0"/>
        <v>40.763279999999995</v>
      </c>
      <c r="U23" s="2">
        <f t="shared" si="6"/>
        <v>0.10047641114123736</v>
      </c>
      <c r="V23" s="1">
        <f>672.34/40.75</f>
        <v>16.49914110429448</v>
      </c>
      <c r="W23">
        <v>0.17</v>
      </c>
      <c r="X23">
        <v>0.17</v>
      </c>
      <c r="Y23">
        <v>7.46</v>
      </c>
      <c r="Z23" s="2">
        <f t="shared" si="7"/>
        <v>0.18300784431478528</v>
      </c>
      <c r="AA23" s="6">
        <v>0.94</v>
      </c>
      <c r="AB23" s="2">
        <f t="shared" si="1"/>
        <v>0.12668463611859837</v>
      </c>
      <c r="AC23" s="2">
        <v>0.436</v>
      </c>
      <c r="AD23">
        <v>1.76</v>
      </c>
      <c r="AE23" s="6">
        <v>1.29</v>
      </c>
      <c r="AF23" s="2">
        <f t="shared" si="2"/>
        <v>8.1293532338308466E-2</v>
      </c>
      <c r="AG23" s="9">
        <f>1.29/2.28</f>
        <v>0.56578947368421062</v>
      </c>
      <c r="AH23">
        <v>0.99</v>
      </c>
      <c r="AI23">
        <v>0.5</v>
      </c>
      <c r="AJ23" s="2">
        <v>0.48599999999999999</v>
      </c>
      <c r="AK23" s="6">
        <v>0.8</v>
      </c>
      <c r="AL23">
        <v>2.64</v>
      </c>
      <c r="AM23">
        <v>60.89</v>
      </c>
      <c r="AN23" s="14">
        <f t="shared" si="3"/>
        <v>0.10046196997195182</v>
      </c>
      <c r="AO23" t="s">
        <v>195</v>
      </c>
      <c r="AP23" t="s">
        <v>283</v>
      </c>
    </row>
    <row r="24" spans="1:42" x14ac:dyDescent="0.2">
      <c r="A24" s="10" t="s">
        <v>53</v>
      </c>
      <c r="B24" s="10">
        <v>24</v>
      </c>
      <c r="C24" s="10" t="s">
        <v>50</v>
      </c>
      <c r="D24" s="1">
        <v>1.57</v>
      </c>
      <c r="E24" s="1">
        <v>15.868421052631579</v>
      </c>
      <c r="F24" s="1">
        <v>606.1</v>
      </c>
      <c r="G24" s="1">
        <v>7.42</v>
      </c>
      <c r="H24" s="1">
        <v>405.7</v>
      </c>
      <c r="I24" t="s">
        <v>24</v>
      </c>
      <c r="J24" t="s">
        <v>25</v>
      </c>
      <c r="K24" t="s">
        <v>26</v>
      </c>
      <c r="L24" s="10">
        <v>29.2</v>
      </c>
      <c r="M24" s="6">
        <v>0.15</v>
      </c>
      <c r="N24" s="2">
        <f t="shared" si="4"/>
        <v>9.5541401273885343E-2</v>
      </c>
      <c r="O24">
        <v>0.14000000000000001</v>
      </c>
      <c r="P24" s="2">
        <f t="shared" si="5"/>
        <v>8.9171974522293002E-2</v>
      </c>
      <c r="Q24" s="5">
        <v>1.2</v>
      </c>
      <c r="R24">
        <v>52.53</v>
      </c>
      <c r="S24" s="2">
        <v>0.83699999999999997</v>
      </c>
      <c r="T24" s="1">
        <f t="shared" si="0"/>
        <v>43.967610000000001</v>
      </c>
      <c r="U24" s="2">
        <f t="shared" si="6"/>
        <v>0.10837468572837072</v>
      </c>
      <c r="V24" s="1">
        <f>703.88/43.97</f>
        <v>16.00818740050034</v>
      </c>
      <c r="W24">
        <v>7.0000000000000007E-2</v>
      </c>
      <c r="X24">
        <v>0.08</v>
      </c>
      <c r="Y24">
        <v>4.38</v>
      </c>
      <c r="Z24" s="2">
        <f t="shared" si="7"/>
        <v>9.9618787557476968E-2</v>
      </c>
      <c r="AA24" s="6">
        <v>0.68</v>
      </c>
      <c r="AB24" s="2">
        <f t="shared" si="1"/>
        <v>9.1644204851752023E-2</v>
      </c>
      <c r="AC24" s="2">
        <v>0.54100000000000004</v>
      </c>
      <c r="AD24">
        <v>1.27</v>
      </c>
      <c r="AE24" s="6">
        <v>1.1000000000000001</v>
      </c>
      <c r="AF24" s="2">
        <f t="shared" si="2"/>
        <v>6.9320066334991715E-2</v>
      </c>
      <c r="AG24" s="9">
        <f>1.1/1.75</f>
        <v>0.62857142857142867</v>
      </c>
      <c r="AH24">
        <v>1.1599999999999999</v>
      </c>
      <c r="AI24">
        <v>0.41</v>
      </c>
      <c r="AJ24" s="3">
        <v>0.5</v>
      </c>
      <c r="AK24" s="6">
        <v>1.1599999999999999</v>
      </c>
      <c r="AL24">
        <v>1.81</v>
      </c>
      <c r="AM24">
        <v>62.21</v>
      </c>
      <c r="AN24" s="14">
        <f t="shared" si="3"/>
        <v>0.10263982841115327</v>
      </c>
      <c r="AO24" t="s">
        <v>196</v>
      </c>
      <c r="AP24" t="s">
        <v>283</v>
      </c>
    </row>
    <row r="25" spans="1:42" x14ac:dyDescent="0.2">
      <c r="A25" s="10" t="s">
        <v>54</v>
      </c>
      <c r="B25" s="10">
        <v>26</v>
      </c>
      <c r="C25" s="10" t="s">
        <v>50</v>
      </c>
      <c r="D25" s="1">
        <v>1.57</v>
      </c>
      <c r="E25" s="1">
        <v>15.868421052631579</v>
      </c>
      <c r="F25" s="1">
        <v>606.1</v>
      </c>
      <c r="G25" s="1">
        <v>7.42</v>
      </c>
      <c r="H25" s="1">
        <v>405.7</v>
      </c>
      <c r="I25" t="s">
        <v>24</v>
      </c>
      <c r="J25" t="s">
        <v>25</v>
      </c>
      <c r="K25" t="s">
        <v>26</v>
      </c>
      <c r="L25" s="10">
        <v>8.9</v>
      </c>
      <c r="M25" s="6">
        <v>7.0000000000000007E-2</v>
      </c>
      <c r="N25" s="2">
        <f t="shared" si="4"/>
        <v>4.4585987261146501E-2</v>
      </c>
      <c r="O25">
        <v>0</v>
      </c>
      <c r="P25" s="2">
        <f t="shared" si="5"/>
        <v>0</v>
      </c>
      <c r="Q25" s="5">
        <v>0.68</v>
      </c>
      <c r="R25">
        <v>39.36</v>
      </c>
      <c r="S25" s="2">
        <v>0.84499999999999997</v>
      </c>
      <c r="T25" s="1">
        <f t="shared" si="0"/>
        <v>33.2592</v>
      </c>
      <c r="U25" s="2">
        <f t="shared" si="6"/>
        <v>8.197978802070495E-2</v>
      </c>
      <c r="V25" s="1">
        <f>497.03/33.27</f>
        <v>14.939284640817551</v>
      </c>
      <c r="W25">
        <v>0</v>
      </c>
      <c r="X25">
        <v>0.02</v>
      </c>
      <c r="Y25">
        <v>4.51</v>
      </c>
      <c r="Z25" s="2">
        <f t="shared" si="7"/>
        <v>0.13560157790927022</v>
      </c>
      <c r="AA25" s="6">
        <v>0.23</v>
      </c>
      <c r="AB25" s="2">
        <f t="shared" si="1"/>
        <v>3.0997304582210245E-2</v>
      </c>
      <c r="AC25" s="2">
        <v>0.28599999999999998</v>
      </c>
      <c r="AD25">
        <v>2.48</v>
      </c>
      <c r="AE25" s="6">
        <v>1.8</v>
      </c>
      <c r="AF25" s="2">
        <f t="shared" si="2"/>
        <v>0.11343283582089553</v>
      </c>
      <c r="AG25" s="9">
        <f>1.8/3.05</f>
        <v>0.59016393442622961</v>
      </c>
      <c r="AH25">
        <v>1.92</v>
      </c>
      <c r="AI25">
        <v>0.79</v>
      </c>
      <c r="AJ25" s="3">
        <v>0.5</v>
      </c>
      <c r="AK25" s="6">
        <v>0.79</v>
      </c>
      <c r="AL25">
        <v>2.48</v>
      </c>
      <c r="AM25">
        <v>48.95</v>
      </c>
      <c r="AN25" s="14">
        <f t="shared" si="3"/>
        <v>8.0762250453720513E-2</v>
      </c>
      <c r="AO25" t="s">
        <v>197</v>
      </c>
      <c r="AP25" t="s">
        <v>283</v>
      </c>
    </row>
    <row r="26" spans="1:42" x14ac:dyDescent="0.2">
      <c r="A26" s="10" t="s">
        <v>55</v>
      </c>
      <c r="B26" s="10">
        <v>23</v>
      </c>
      <c r="C26" s="10" t="s">
        <v>61</v>
      </c>
      <c r="D26" s="1">
        <v>1.35</v>
      </c>
      <c r="E26" s="1">
        <v>16.763157894736842</v>
      </c>
      <c r="F26" s="1">
        <v>571</v>
      </c>
      <c r="G26" s="1">
        <v>8.61</v>
      </c>
      <c r="H26" s="1">
        <v>386.9</v>
      </c>
      <c r="I26" t="s">
        <v>24</v>
      </c>
      <c r="J26" t="s">
        <v>25</v>
      </c>
      <c r="K26" t="s">
        <v>26</v>
      </c>
      <c r="L26" s="10">
        <v>18</v>
      </c>
      <c r="M26" s="6">
        <v>0.09</v>
      </c>
      <c r="N26" s="2">
        <f t="shared" si="4"/>
        <v>6.6666666666666666E-2</v>
      </c>
      <c r="O26">
        <v>0.06</v>
      </c>
      <c r="P26" s="2">
        <f t="shared" si="5"/>
        <v>4.4444444444444439E-2</v>
      </c>
      <c r="Q26" s="5">
        <v>1.05</v>
      </c>
      <c r="R26">
        <v>32.5</v>
      </c>
      <c r="S26" s="2">
        <v>0.84799999999999998</v>
      </c>
      <c r="T26" s="1">
        <f t="shared" si="0"/>
        <v>27.56</v>
      </c>
      <c r="U26" s="2">
        <f t="shared" si="6"/>
        <v>7.1232876712328766E-2</v>
      </c>
      <c r="V26" s="1">
        <f>368.48/27.56</f>
        <v>13.370101596516692</v>
      </c>
      <c r="W26">
        <v>0.17</v>
      </c>
      <c r="X26">
        <v>0.13</v>
      </c>
      <c r="Y26">
        <v>3.77</v>
      </c>
      <c r="Z26" s="2">
        <f t="shared" si="7"/>
        <v>0.13679245283018868</v>
      </c>
      <c r="AA26" s="6">
        <v>1.39</v>
      </c>
      <c r="AB26" s="2">
        <f t="shared" si="1"/>
        <v>0.16144018583042974</v>
      </c>
      <c r="AC26" s="2">
        <v>0.54300000000000004</v>
      </c>
      <c r="AD26">
        <v>3.38</v>
      </c>
      <c r="AE26" s="6">
        <v>0.83</v>
      </c>
      <c r="AF26" s="2">
        <f t="shared" si="2"/>
        <v>4.9513343799058078E-2</v>
      </c>
      <c r="AG26" s="9">
        <f>0.83/1.66</f>
        <v>0.5</v>
      </c>
      <c r="AH26">
        <v>1.28</v>
      </c>
      <c r="AI26">
        <v>0.39</v>
      </c>
      <c r="AJ26" s="3">
        <v>0.35</v>
      </c>
      <c r="AK26" s="6">
        <v>0.44</v>
      </c>
      <c r="AL26">
        <v>6.32</v>
      </c>
      <c r="AM26">
        <v>42.26</v>
      </c>
      <c r="AN26" s="14">
        <f t="shared" si="3"/>
        <v>7.4010507880910681E-2</v>
      </c>
      <c r="AO26" t="s">
        <v>198</v>
      </c>
      <c r="AP26" t="s">
        <v>284</v>
      </c>
    </row>
    <row r="27" spans="1:42" x14ac:dyDescent="0.2">
      <c r="A27" s="10" t="s">
        <v>56</v>
      </c>
      <c r="B27" s="10">
        <v>29</v>
      </c>
      <c r="C27" s="10" t="s">
        <v>61</v>
      </c>
      <c r="D27" s="1">
        <v>1.35</v>
      </c>
      <c r="E27" s="1">
        <v>16.763157894736842</v>
      </c>
      <c r="F27" s="1">
        <v>571</v>
      </c>
      <c r="G27" s="1">
        <v>8.61</v>
      </c>
      <c r="H27" s="1">
        <v>386.9</v>
      </c>
      <c r="I27" t="s">
        <v>24</v>
      </c>
      <c r="J27" t="s">
        <v>25</v>
      </c>
      <c r="K27" t="s">
        <v>26</v>
      </c>
      <c r="L27" s="10">
        <v>24.7</v>
      </c>
      <c r="M27" s="6">
        <v>0.11</v>
      </c>
      <c r="N27" s="2">
        <f t="shared" si="4"/>
        <v>8.1481481481481474E-2</v>
      </c>
      <c r="O27">
        <v>0.04</v>
      </c>
      <c r="P27" s="2">
        <f t="shared" si="5"/>
        <v>2.9629629629629627E-2</v>
      </c>
      <c r="Q27" s="5">
        <v>1.26</v>
      </c>
      <c r="R27">
        <v>34.57</v>
      </c>
      <c r="S27" s="2">
        <v>0.81899999999999995</v>
      </c>
      <c r="T27" s="1">
        <f t="shared" si="0"/>
        <v>28.312829999999998</v>
      </c>
      <c r="U27" s="2">
        <f t="shared" si="6"/>
        <v>7.3178676660635822E-2</v>
      </c>
      <c r="V27" s="1">
        <f>478.02/28.3</f>
        <v>16.891166077738514</v>
      </c>
      <c r="W27">
        <v>0.16</v>
      </c>
      <c r="X27">
        <v>0.14000000000000001</v>
      </c>
      <c r="Y27">
        <v>4.17</v>
      </c>
      <c r="Z27" s="2">
        <f t="shared" si="7"/>
        <v>0.14728305153529336</v>
      </c>
      <c r="AA27" s="6">
        <v>0.81</v>
      </c>
      <c r="AB27" s="2">
        <f t="shared" si="1"/>
        <v>9.4076655052264826E-2</v>
      </c>
      <c r="AC27" s="2">
        <v>0.42599999999999999</v>
      </c>
      <c r="AD27">
        <v>1.3</v>
      </c>
      <c r="AE27" s="6">
        <v>0.97</v>
      </c>
      <c r="AF27" s="2">
        <f t="shared" si="2"/>
        <v>5.786499215070643E-2</v>
      </c>
      <c r="AG27" s="9">
        <f>0.97/1.34</f>
        <v>0.72388059701492535</v>
      </c>
      <c r="AH27">
        <v>0.89</v>
      </c>
      <c r="AI27">
        <v>0.68</v>
      </c>
      <c r="AJ27" s="2">
        <v>0.58599999999999997</v>
      </c>
      <c r="AK27" s="6">
        <v>0.56999999999999995</v>
      </c>
      <c r="AL27">
        <v>3.52</v>
      </c>
      <c r="AM27">
        <v>43.4</v>
      </c>
      <c r="AN27" s="14">
        <f t="shared" si="3"/>
        <v>7.6007005253940454E-2</v>
      </c>
      <c r="AO27" t="s">
        <v>199</v>
      </c>
      <c r="AP27" t="s">
        <v>284</v>
      </c>
    </row>
    <row r="28" spans="1:42" x14ac:dyDescent="0.2">
      <c r="A28" s="10" t="s">
        <v>57</v>
      </c>
      <c r="B28" s="10">
        <v>27</v>
      </c>
      <c r="C28" s="10" t="s">
        <v>61</v>
      </c>
      <c r="D28" s="1">
        <v>1.35</v>
      </c>
      <c r="E28" s="1">
        <v>16.763157894736842</v>
      </c>
      <c r="F28" s="1">
        <v>571</v>
      </c>
      <c r="G28" s="1">
        <v>8.61</v>
      </c>
      <c r="H28" s="1">
        <v>386.9</v>
      </c>
      <c r="I28" t="s">
        <v>24</v>
      </c>
      <c r="J28" t="s">
        <v>25</v>
      </c>
      <c r="K28" t="s">
        <v>26</v>
      </c>
      <c r="L28" s="10">
        <v>33.6</v>
      </c>
      <c r="M28" s="6">
        <v>7.0000000000000007E-2</v>
      </c>
      <c r="N28" s="2">
        <f t="shared" si="4"/>
        <v>5.185185185185185E-2</v>
      </c>
      <c r="O28">
        <v>0.09</v>
      </c>
      <c r="P28" s="2">
        <f t="shared" si="5"/>
        <v>6.6666666666666666E-2</v>
      </c>
      <c r="Q28" s="5">
        <v>1.19</v>
      </c>
      <c r="R28">
        <v>61.3</v>
      </c>
      <c r="S28" s="2">
        <v>0.82199999999999995</v>
      </c>
      <c r="T28" s="1">
        <f t="shared" si="0"/>
        <v>50.388599999999997</v>
      </c>
      <c r="U28" s="2">
        <f t="shared" si="6"/>
        <v>0.13023675368312226</v>
      </c>
      <c r="V28" s="1">
        <f>863.98/50.38</f>
        <v>17.149265581579993</v>
      </c>
      <c r="W28">
        <v>0.21</v>
      </c>
      <c r="X28">
        <v>0.21</v>
      </c>
      <c r="Y28">
        <v>6.99</v>
      </c>
      <c r="Z28" s="2">
        <f t="shared" si="7"/>
        <v>0.13872185375263454</v>
      </c>
      <c r="AA28" s="6">
        <v>0.92</v>
      </c>
      <c r="AB28" s="2">
        <f t="shared" si="1"/>
        <v>0.10685249709639955</v>
      </c>
      <c r="AC28" s="2">
        <v>0.50800000000000001</v>
      </c>
      <c r="AD28">
        <v>1.1599999999999999</v>
      </c>
      <c r="AE28" s="6">
        <v>1.73</v>
      </c>
      <c r="AF28" s="2">
        <f t="shared" si="2"/>
        <v>0.10320251177394034</v>
      </c>
      <c r="AG28" s="9">
        <f>1.73/2.5</f>
        <v>0.69199999999999995</v>
      </c>
      <c r="AH28">
        <v>1.1299999999999999</v>
      </c>
      <c r="AI28">
        <v>0.65</v>
      </c>
      <c r="AJ28" s="3">
        <v>0.55000000000000004</v>
      </c>
      <c r="AK28" s="6">
        <v>0.68</v>
      </c>
      <c r="AL28">
        <v>1.43</v>
      </c>
      <c r="AM28">
        <v>70.94</v>
      </c>
      <c r="AN28" s="14">
        <f t="shared" si="3"/>
        <v>0.12423817863397547</v>
      </c>
      <c r="AO28" t="s">
        <v>200</v>
      </c>
      <c r="AP28" t="s">
        <v>284</v>
      </c>
    </row>
    <row r="29" spans="1:42" x14ac:dyDescent="0.2">
      <c r="A29" s="10" t="s">
        <v>58</v>
      </c>
      <c r="B29" s="10">
        <v>24</v>
      </c>
      <c r="C29" s="10" t="s">
        <v>61</v>
      </c>
      <c r="D29" s="1">
        <v>1.35</v>
      </c>
      <c r="E29" s="1">
        <v>16.763157894736842</v>
      </c>
      <c r="F29" s="1">
        <v>571</v>
      </c>
      <c r="G29" s="1">
        <v>8.61</v>
      </c>
      <c r="H29" s="1">
        <v>386.9</v>
      </c>
      <c r="I29" t="s">
        <v>24</v>
      </c>
      <c r="J29" t="s">
        <v>25</v>
      </c>
      <c r="K29" t="s">
        <v>26</v>
      </c>
      <c r="L29" s="10">
        <v>19.2</v>
      </c>
      <c r="M29" s="6">
        <v>0.04</v>
      </c>
      <c r="N29" s="2">
        <f t="shared" si="4"/>
        <v>2.9629629629629627E-2</v>
      </c>
      <c r="O29">
        <v>0.05</v>
      </c>
      <c r="P29" s="2">
        <f t="shared" si="5"/>
        <v>3.7037037037037035E-2</v>
      </c>
      <c r="Q29" s="5">
        <v>0.52</v>
      </c>
      <c r="R29">
        <v>48.55</v>
      </c>
      <c r="S29" s="2">
        <v>0.88600000000000001</v>
      </c>
      <c r="T29" s="1">
        <f t="shared" si="0"/>
        <v>43.015299999999996</v>
      </c>
      <c r="U29" s="2">
        <f t="shared" si="6"/>
        <v>0.11117937451537865</v>
      </c>
      <c r="V29" s="1">
        <f>680.68/43.02</f>
        <v>15.822408182240816</v>
      </c>
      <c r="W29">
        <v>0</v>
      </c>
      <c r="X29">
        <v>0.05</v>
      </c>
      <c r="Y29">
        <v>4.43</v>
      </c>
      <c r="Z29" s="2">
        <f t="shared" si="7"/>
        <v>0.10298661174047374</v>
      </c>
      <c r="AA29" s="6">
        <v>0.47</v>
      </c>
      <c r="AB29" s="2">
        <f t="shared" si="1"/>
        <v>5.45876887340302E-2</v>
      </c>
      <c r="AC29" s="2">
        <v>0.33300000000000002</v>
      </c>
      <c r="AD29">
        <v>0.99</v>
      </c>
      <c r="AE29" s="6">
        <v>1.1000000000000001</v>
      </c>
      <c r="AF29" s="2">
        <f t="shared" si="2"/>
        <v>6.5620094191522774E-2</v>
      </c>
      <c r="AG29" s="9">
        <f>1.1/2.61</f>
        <v>0.42145593869731807</v>
      </c>
      <c r="AH29">
        <v>0.99</v>
      </c>
      <c r="AI29">
        <v>1.1000000000000001</v>
      </c>
      <c r="AJ29" s="2">
        <v>0.44700000000000001</v>
      </c>
      <c r="AK29" s="6">
        <v>0.99</v>
      </c>
      <c r="AL29">
        <v>0.37</v>
      </c>
      <c r="AM29">
        <v>58.04</v>
      </c>
      <c r="AN29" s="14">
        <f t="shared" si="3"/>
        <v>0.101646234676007</v>
      </c>
      <c r="AO29" t="s">
        <v>173</v>
      </c>
      <c r="AP29" t="s">
        <v>284</v>
      </c>
    </row>
    <row r="30" spans="1:42" x14ac:dyDescent="0.2">
      <c r="A30" s="10" t="s">
        <v>59</v>
      </c>
      <c r="B30" s="10">
        <v>30</v>
      </c>
      <c r="C30" s="10" t="s">
        <v>61</v>
      </c>
      <c r="D30" s="1">
        <v>1.35</v>
      </c>
      <c r="E30" s="1">
        <v>16.763157894736842</v>
      </c>
      <c r="F30" s="1">
        <v>571</v>
      </c>
      <c r="G30" s="1">
        <v>8.61</v>
      </c>
      <c r="H30" s="1">
        <v>386.9</v>
      </c>
      <c r="I30" t="s">
        <v>24</v>
      </c>
      <c r="J30" t="s">
        <v>25</v>
      </c>
      <c r="K30" t="s">
        <v>26</v>
      </c>
      <c r="L30" s="10">
        <v>6.5</v>
      </c>
      <c r="M30" s="6">
        <v>0.28000000000000003</v>
      </c>
      <c r="N30" s="2">
        <f t="shared" si="4"/>
        <v>0.2074074074074074</v>
      </c>
      <c r="O30">
        <v>0.44</v>
      </c>
      <c r="P30" s="2">
        <f t="shared" si="5"/>
        <v>0.3259259259259259</v>
      </c>
      <c r="Q30" s="5">
        <v>2.48</v>
      </c>
      <c r="R30">
        <v>61.19</v>
      </c>
      <c r="S30" s="2">
        <v>0.85299999999999998</v>
      </c>
      <c r="T30" s="1">
        <f t="shared" si="0"/>
        <v>52.195069999999994</v>
      </c>
      <c r="U30" s="2">
        <f t="shared" si="6"/>
        <v>0.13490584130266217</v>
      </c>
      <c r="V30" s="1">
        <f>810.46/52.2</f>
        <v>15.526053639846744</v>
      </c>
      <c r="W30">
        <v>0.15</v>
      </c>
      <c r="X30">
        <v>0.09</v>
      </c>
      <c r="Y30">
        <v>5.58</v>
      </c>
      <c r="Z30" s="2">
        <f t="shared" si="7"/>
        <v>0.10690664846315946</v>
      </c>
      <c r="AA30" s="6">
        <v>1.86</v>
      </c>
      <c r="AB30" s="2">
        <f t="shared" si="1"/>
        <v>0.21602787456445996</v>
      </c>
      <c r="AC30" s="3">
        <v>0.75</v>
      </c>
      <c r="AD30">
        <v>2.3199999999999998</v>
      </c>
      <c r="AE30" s="6">
        <v>0.46</v>
      </c>
      <c r="AF30" s="2">
        <f t="shared" si="2"/>
        <v>2.7441130298273157E-2</v>
      </c>
      <c r="AG30" s="9">
        <f>0.46/2.17</f>
        <v>0.21198156682027652</v>
      </c>
      <c r="AH30">
        <v>1.39</v>
      </c>
      <c r="AI30">
        <v>0.93</v>
      </c>
      <c r="AJ30" s="3">
        <v>0.6</v>
      </c>
      <c r="AK30" s="6">
        <v>1.55</v>
      </c>
      <c r="AL30">
        <v>1.55</v>
      </c>
      <c r="AM30">
        <v>71.88</v>
      </c>
      <c r="AN30" s="14">
        <f t="shared" si="3"/>
        <v>0.12588441330998248</v>
      </c>
      <c r="AO30" t="s">
        <v>201</v>
      </c>
      <c r="AP30" t="s">
        <v>284</v>
      </c>
    </row>
    <row r="31" spans="1:42" x14ac:dyDescent="0.2">
      <c r="A31" s="10" t="s">
        <v>60</v>
      </c>
      <c r="B31" s="10">
        <v>20</v>
      </c>
      <c r="C31" s="10" t="s">
        <v>61</v>
      </c>
      <c r="D31" s="1">
        <v>1.35</v>
      </c>
      <c r="E31" s="1">
        <v>16.763157894736842</v>
      </c>
      <c r="F31" s="1">
        <v>571</v>
      </c>
      <c r="G31" s="1">
        <v>8.61</v>
      </c>
      <c r="H31" s="1">
        <v>386.9</v>
      </c>
      <c r="I31" t="s">
        <v>24</v>
      </c>
      <c r="J31" t="s">
        <v>25</v>
      </c>
      <c r="K31" t="s">
        <v>26</v>
      </c>
      <c r="L31" s="10">
        <v>5.3</v>
      </c>
      <c r="M31" s="6">
        <v>0</v>
      </c>
      <c r="N31" s="2">
        <f t="shared" si="4"/>
        <v>0</v>
      </c>
      <c r="O31">
        <v>0</v>
      </c>
      <c r="P31" s="2">
        <f t="shared" si="5"/>
        <v>0</v>
      </c>
      <c r="Q31" s="5">
        <v>0.19</v>
      </c>
      <c r="R31">
        <v>51.43</v>
      </c>
      <c r="S31" s="2">
        <v>0.88200000000000001</v>
      </c>
      <c r="T31" s="1">
        <f t="shared" si="0"/>
        <v>45.361260000000001</v>
      </c>
      <c r="U31" s="2">
        <f t="shared" si="6"/>
        <v>0.11724285345050402</v>
      </c>
      <c r="V31" s="1">
        <f>696.18/45.38</f>
        <v>15.341119435874832</v>
      </c>
      <c r="W31">
        <v>0</v>
      </c>
      <c r="X31">
        <v>0.02</v>
      </c>
      <c r="Y31">
        <v>2.65</v>
      </c>
      <c r="Z31" s="2">
        <f t="shared" si="7"/>
        <v>5.8419893980017304E-2</v>
      </c>
      <c r="AA31" s="6">
        <v>0.38</v>
      </c>
      <c r="AB31" s="2">
        <f t="shared" si="1"/>
        <v>4.4134727061556335E-2</v>
      </c>
      <c r="AC31" s="3">
        <v>0.5</v>
      </c>
      <c r="AD31">
        <v>2.27</v>
      </c>
      <c r="AE31" s="6">
        <v>1.1299999999999999</v>
      </c>
      <c r="AF31" s="2">
        <f t="shared" si="2"/>
        <v>6.7409733124018836E-2</v>
      </c>
      <c r="AG31" s="9">
        <f>1.13/2.65</f>
        <v>0.4264150943396226</v>
      </c>
      <c r="AH31">
        <v>0.95</v>
      </c>
      <c r="AI31">
        <v>1.1299999999999999</v>
      </c>
      <c r="AJ31" s="3">
        <v>0.5</v>
      </c>
      <c r="AK31" s="6">
        <v>0.19</v>
      </c>
      <c r="AL31">
        <v>1.7</v>
      </c>
      <c r="AM31">
        <v>61.45</v>
      </c>
      <c r="AN31" s="14">
        <f t="shared" si="3"/>
        <v>0.10761821366024518</v>
      </c>
      <c r="AO31" t="s">
        <v>202</v>
      </c>
      <c r="AP31" t="s">
        <v>284</v>
      </c>
    </row>
    <row r="32" spans="1:42" x14ac:dyDescent="0.2">
      <c r="A32" s="10" t="s">
        <v>62</v>
      </c>
      <c r="B32" s="10">
        <v>22</v>
      </c>
      <c r="C32" s="10" t="s">
        <v>61</v>
      </c>
      <c r="D32" s="1">
        <v>1.35</v>
      </c>
      <c r="E32" s="1">
        <v>16.763157894736842</v>
      </c>
      <c r="F32" s="1">
        <v>571</v>
      </c>
      <c r="G32" s="1">
        <v>8.61</v>
      </c>
      <c r="H32" s="1">
        <v>386.9</v>
      </c>
      <c r="I32" t="s">
        <v>24</v>
      </c>
      <c r="J32" s="10" t="s">
        <v>25</v>
      </c>
      <c r="K32" s="10" t="s">
        <v>26</v>
      </c>
      <c r="L32" s="10">
        <v>18</v>
      </c>
      <c r="M32" s="6">
        <v>0.12</v>
      </c>
      <c r="N32" s="2">
        <f t="shared" si="4"/>
        <v>8.8888888888888878E-2</v>
      </c>
      <c r="O32">
        <v>0.17</v>
      </c>
      <c r="P32" s="2">
        <f t="shared" si="5"/>
        <v>0.12592592592592591</v>
      </c>
      <c r="Q32" s="5">
        <v>0.95</v>
      </c>
      <c r="R32">
        <v>44.64</v>
      </c>
      <c r="S32" s="2">
        <v>0.877</v>
      </c>
      <c r="T32" s="1">
        <f t="shared" si="0"/>
        <v>39.149279999999997</v>
      </c>
      <c r="U32" s="2">
        <f t="shared" si="6"/>
        <v>0.10118707676402171</v>
      </c>
      <c r="V32" s="1">
        <f>615.47/39.13</f>
        <v>15.728852542806031</v>
      </c>
      <c r="W32">
        <v>0</v>
      </c>
      <c r="X32">
        <v>0.04</v>
      </c>
      <c r="Y32">
        <v>4.17</v>
      </c>
      <c r="Z32" s="2">
        <f t="shared" si="7"/>
        <v>0.10651536886502128</v>
      </c>
      <c r="AA32" s="6">
        <v>0.78</v>
      </c>
      <c r="AB32" s="2">
        <f t="shared" si="1"/>
        <v>9.0592334494773524E-2</v>
      </c>
      <c r="AC32" s="3">
        <v>0.7</v>
      </c>
      <c r="AD32">
        <v>1.61</v>
      </c>
      <c r="AE32" s="6">
        <v>1.67</v>
      </c>
      <c r="AF32" s="2">
        <f t="shared" si="2"/>
        <v>9.9623233908948186E-2</v>
      </c>
      <c r="AG32" s="9">
        <f>1.67/3.06</f>
        <v>0.54575163398692805</v>
      </c>
      <c r="AH32">
        <v>0.89</v>
      </c>
      <c r="AI32">
        <v>1.78</v>
      </c>
      <c r="AJ32" s="2">
        <v>0.60399999999999998</v>
      </c>
      <c r="AK32" s="6">
        <v>1.45</v>
      </c>
      <c r="AL32">
        <v>0.89</v>
      </c>
      <c r="AM32">
        <v>55.55</v>
      </c>
      <c r="AN32" s="14">
        <f t="shared" si="3"/>
        <v>9.7285464098073551E-2</v>
      </c>
      <c r="AO32" t="s">
        <v>203</v>
      </c>
      <c r="AP32" t="s">
        <v>284</v>
      </c>
    </row>
    <row r="33" spans="1:42" x14ac:dyDescent="0.2">
      <c r="A33" s="10" t="s">
        <v>63</v>
      </c>
      <c r="B33" s="10">
        <v>26</v>
      </c>
      <c r="C33" s="10" t="s">
        <v>64</v>
      </c>
      <c r="D33" s="1">
        <v>1.1399999999999999</v>
      </c>
      <c r="E33" s="1">
        <v>18.368421052631579</v>
      </c>
      <c r="F33" s="1">
        <v>499.9</v>
      </c>
      <c r="G33" s="1">
        <v>6.82</v>
      </c>
      <c r="H33" s="1">
        <v>284.8</v>
      </c>
      <c r="I33" t="s">
        <v>24</v>
      </c>
      <c r="J33" t="s">
        <v>25</v>
      </c>
      <c r="K33" t="s">
        <v>26</v>
      </c>
      <c r="L33" s="10">
        <v>21.8</v>
      </c>
      <c r="M33" s="6">
        <v>7.0000000000000007E-2</v>
      </c>
      <c r="N33" s="2">
        <f t="shared" si="4"/>
        <v>6.1403508771929835E-2</v>
      </c>
      <c r="O33">
        <v>0</v>
      </c>
      <c r="P33" s="2">
        <f t="shared" si="5"/>
        <v>0</v>
      </c>
      <c r="Q33" s="5">
        <v>0.96</v>
      </c>
      <c r="R33">
        <v>43.42</v>
      </c>
      <c r="S33" s="2">
        <v>0.86699999999999999</v>
      </c>
      <c r="T33" s="1">
        <f t="shared" si="0"/>
        <v>37.645139999999998</v>
      </c>
      <c r="U33" s="2">
        <f t="shared" si="6"/>
        <v>0.13218096910112359</v>
      </c>
      <c r="V33" s="1">
        <f>549.95/37.64</f>
        <v>14.610786397449523</v>
      </c>
      <c r="W33">
        <v>0.05</v>
      </c>
      <c r="X33">
        <v>0.06</v>
      </c>
      <c r="Y33">
        <v>3.81</v>
      </c>
      <c r="Z33" s="2">
        <f t="shared" si="7"/>
        <v>0.1012082834596976</v>
      </c>
      <c r="AA33" s="6">
        <v>0.41</v>
      </c>
      <c r="AB33" s="2">
        <f t="shared" si="1"/>
        <v>6.0117302052785919E-2</v>
      </c>
      <c r="AC33" s="2">
        <v>0.33300000000000002</v>
      </c>
      <c r="AD33">
        <v>0.73</v>
      </c>
      <c r="AE33" s="6">
        <v>2.06</v>
      </c>
      <c r="AF33" s="2">
        <f t="shared" si="2"/>
        <v>0.1121489971346705</v>
      </c>
      <c r="AG33" s="9">
        <f>2.06/3.94</f>
        <v>0.52284263959390864</v>
      </c>
      <c r="AH33">
        <v>1.74</v>
      </c>
      <c r="AI33">
        <v>1.24</v>
      </c>
      <c r="AJ33" s="3">
        <v>0.54</v>
      </c>
      <c r="AK33" s="6">
        <v>1.33</v>
      </c>
      <c r="AL33">
        <v>1.51</v>
      </c>
      <c r="AM33">
        <v>55.84</v>
      </c>
      <c r="AN33" s="14">
        <f t="shared" si="3"/>
        <v>0.11170234046809363</v>
      </c>
      <c r="AO33" t="s">
        <v>204</v>
      </c>
      <c r="AP33" t="s">
        <v>285</v>
      </c>
    </row>
    <row r="34" spans="1:42" x14ac:dyDescent="0.2">
      <c r="A34" s="10" t="s">
        <v>65</v>
      </c>
      <c r="B34" s="10">
        <v>24</v>
      </c>
      <c r="C34" s="10" t="s">
        <v>64</v>
      </c>
      <c r="D34" s="1">
        <v>1.1399999999999999</v>
      </c>
      <c r="E34" s="1">
        <v>18.368421052631579</v>
      </c>
      <c r="F34" s="1">
        <v>499.9</v>
      </c>
      <c r="G34" s="1">
        <v>6.82</v>
      </c>
      <c r="H34" s="1">
        <v>284.8</v>
      </c>
      <c r="I34" t="s">
        <v>24</v>
      </c>
      <c r="J34" t="s">
        <v>25</v>
      </c>
      <c r="K34" t="s">
        <v>26</v>
      </c>
      <c r="L34" s="10">
        <v>31.1</v>
      </c>
      <c r="M34" s="6">
        <v>0.2</v>
      </c>
      <c r="N34" s="2">
        <f t="shared" si="4"/>
        <v>0.17543859649122809</v>
      </c>
      <c r="O34">
        <v>0.04</v>
      </c>
      <c r="P34" s="2">
        <f t="shared" si="5"/>
        <v>3.5087719298245619E-2</v>
      </c>
      <c r="Q34" s="5">
        <v>1.96</v>
      </c>
      <c r="R34" s="2">
        <v>0.40749999999999997</v>
      </c>
      <c r="S34" s="2">
        <v>0.78300000000000003</v>
      </c>
      <c r="T34" s="1">
        <f t="shared" ref="T34:T65" si="8">R34*S34</f>
        <v>0.31907249999999998</v>
      </c>
      <c r="U34" s="2">
        <f t="shared" si="6"/>
        <v>1.1203388342696627E-3</v>
      </c>
      <c r="V34" s="1">
        <f>494.12/31.88</f>
        <v>15.499372647427855</v>
      </c>
      <c r="W34">
        <v>0.26</v>
      </c>
      <c r="X34">
        <v>0.16</v>
      </c>
      <c r="Y34">
        <v>5.27</v>
      </c>
      <c r="Z34" s="2">
        <f t="shared" si="7"/>
        <v>16.516622397730924</v>
      </c>
      <c r="AA34" s="6">
        <v>1</v>
      </c>
      <c r="AB34" s="2">
        <f t="shared" ref="AB34:AB65" si="9">AA34/G34</f>
        <v>0.14662756598240467</v>
      </c>
      <c r="AC34" s="2">
        <v>0.40300000000000002</v>
      </c>
      <c r="AD34">
        <v>2.2200000000000002</v>
      </c>
      <c r="AE34" s="6">
        <v>0.71</v>
      </c>
      <c r="AF34" s="2">
        <f t="shared" ref="AF34:AF65" si="10">AE34/E34</f>
        <v>3.8653295128939828E-2</v>
      </c>
      <c r="AG34" s="9">
        <f>0.71/1.38</f>
        <v>0.51449275362318847</v>
      </c>
      <c r="AH34">
        <v>0.57999999999999996</v>
      </c>
      <c r="AI34">
        <v>1.28</v>
      </c>
      <c r="AJ34" s="2">
        <v>0.42099999999999999</v>
      </c>
      <c r="AK34" s="6">
        <v>0.74</v>
      </c>
      <c r="AL34">
        <v>4.37</v>
      </c>
      <c r="AM34">
        <v>52.21</v>
      </c>
      <c r="AN34" s="14">
        <f t="shared" ref="AN34:AN65" si="11">AM34/F34</f>
        <v>0.10444088817763553</v>
      </c>
      <c r="AO34" t="s">
        <v>205</v>
      </c>
      <c r="AP34" t="s">
        <v>285</v>
      </c>
    </row>
    <row r="35" spans="1:42" x14ac:dyDescent="0.2">
      <c r="A35" s="10" t="s">
        <v>66</v>
      </c>
      <c r="B35" s="10">
        <v>21</v>
      </c>
      <c r="C35" s="10" t="s">
        <v>64</v>
      </c>
      <c r="D35" s="1">
        <v>1.1399999999999999</v>
      </c>
      <c r="E35" s="1">
        <v>18.368421052631579</v>
      </c>
      <c r="F35" s="1">
        <v>499.9</v>
      </c>
      <c r="G35" s="1">
        <v>6.82</v>
      </c>
      <c r="H35" s="1">
        <v>284.8</v>
      </c>
      <c r="I35" t="s">
        <v>24</v>
      </c>
      <c r="J35" t="s">
        <v>25</v>
      </c>
      <c r="K35" t="s">
        <v>26</v>
      </c>
      <c r="L35" s="10">
        <v>30.3</v>
      </c>
      <c r="M35" s="6">
        <v>7.0000000000000007E-2</v>
      </c>
      <c r="N35" s="2">
        <f t="shared" si="4"/>
        <v>6.1403508771929835E-2</v>
      </c>
      <c r="O35">
        <v>7.0000000000000007E-2</v>
      </c>
      <c r="P35" s="2">
        <f t="shared" si="5"/>
        <v>6.1403508771929835E-2</v>
      </c>
      <c r="Q35" s="5">
        <v>1.32</v>
      </c>
      <c r="R35">
        <v>45.73</v>
      </c>
      <c r="S35" s="2">
        <v>0.78300000000000003</v>
      </c>
      <c r="T35" s="1">
        <f t="shared" si="8"/>
        <v>35.80659</v>
      </c>
      <c r="U35" s="2">
        <f t="shared" si="6"/>
        <v>0.12572538623595506</v>
      </c>
      <c r="V35" s="1">
        <f>575.96/35.8</f>
        <v>16.088268156424583</v>
      </c>
      <c r="W35">
        <v>0.2</v>
      </c>
      <c r="X35">
        <v>0.11</v>
      </c>
      <c r="Y35">
        <v>4.72</v>
      </c>
      <c r="Z35" s="2">
        <f t="shared" si="7"/>
        <v>0.1318193103559987</v>
      </c>
      <c r="AA35" s="6">
        <v>1.19</v>
      </c>
      <c r="AB35" s="2">
        <f t="shared" si="9"/>
        <v>0.17448680351906157</v>
      </c>
      <c r="AC35" s="3">
        <v>0.48</v>
      </c>
      <c r="AD35">
        <v>1.72</v>
      </c>
      <c r="AE35" s="6">
        <v>1.85</v>
      </c>
      <c r="AF35" s="2">
        <f t="shared" si="10"/>
        <v>0.1007163323782235</v>
      </c>
      <c r="AG35" s="9">
        <f>1.85/3.04</f>
        <v>0.60855263157894735</v>
      </c>
      <c r="AH35">
        <v>1.58</v>
      </c>
      <c r="AI35">
        <v>1.85</v>
      </c>
      <c r="AJ35" s="2">
        <v>0.65100000000000002</v>
      </c>
      <c r="AK35" s="6">
        <v>1.02</v>
      </c>
      <c r="AL35">
        <v>3.13</v>
      </c>
      <c r="AM35">
        <v>60.44</v>
      </c>
      <c r="AN35" s="14">
        <f t="shared" si="11"/>
        <v>0.12090418083616723</v>
      </c>
      <c r="AO35" t="s">
        <v>206</v>
      </c>
      <c r="AP35" t="s">
        <v>285</v>
      </c>
    </row>
    <row r="36" spans="1:42" x14ac:dyDescent="0.2">
      <c r="A36" s="10" t="s">
        <v>67</v>
      </c>
      <c r="B36" s="10">
        <v>26</v>
      </c>
      <c r="C36" s="10" t="s">
        <v>64</v>
      </c>
      <c r="D36" s="1">
        <v>1.1399999999999999</v>
      </c>
      <c r="E36" s="1">
        <v>18.368421052631579</v>
      </c>
      <c r="F36" s="1">
        <v>499.9</v>
      </c>
      <c r="G36" s="1">
        <v>6.82</v>
      </c>
      <c r="H36" s="1">
        <v>284.8</v>
      </c>
      <c r="I36" t="s">
        <v>24</v>
      </c>
      <c r="J36" t="s">
        <v>25</v>
      </c>
      <c r="K36" t="s">
        <v>26</v>
      </c>
      <c r="L36" s="10">
        <v>21.3</v>
      </c>
      <c r="M36" s="6">
        <v>0.11</v>
      </c>
      <c r="N36" s="2">
        <f t="shared" si="4"/>
        <v>9.6491228070175447E-2</v>
      </c>
      <c r="O36">
        <v>0.09</v>
      </c>
      <c r="P36" s="2">
        <f t="shared" si="5"/>
        <v>7.8947368421052641E-2</v>
      </c>
      <c r="Q36" s="5">
        <v>1.55</v>
      </c>
      <c r="R36">
        <v>35.619999999999997</v>
      </c>
      <c r="S36" s="2">
        <v>0.81499999999999995</v>
      </c>
      <c r="T36" s="1">
        <f t="shared" si="8"/>
        <v>29.030299999999997</v>
      </c>
      <c r="U36" s="2">
        <f t="shared" si="6"/>
        <v>0.10193223314606741</v>
      </c>
      <c r="V36" s="1">
        <f>431.06/29.04</f>
        <v>14.843663911845731</v>
      </c>
      <c r="W36">
        <v>0.05</v>
      </c>
      <c r="X36">
        <v>0.06</v>
      </c>
      <c r="Y36">
        <v>2.4900000000000002</v>
      </c>
      <c r="Z36" s="2">
        <f t="shared" si="7"/>
        <v>8.5772451542009576E-2</v>
      </c>
      <c r="AA36" s="6">
        <v>0.42</v>
      </c>
      <c r="AB36" s="2">
        <f t="shared" si="9"/>
        <v>6.1583577712609965E-2</v>
      </c>
      <c r="AC36" s="3">
        <v>0.5</v>
      </c>
      <c r="AD36">
        <v>0.85</v>
      </c>
      <c r="AE36" s="6">
        <v>0.99</v>
      </c>
      <c r="AF36" s="2">
        <f t="shared" si="10"/>
        <v>5.3896848137535813E-2</v>
      </c>
      <c r="AG36" s="9">
        <f>0.99/1.97</f>
        <v>0.5025380710659898</v>
      </c>
      <c r="AH36">
        <v>1.79</v>
      </c>
      <c r="AI36">
        <v>2.11</v>
      </c>
      <c r="AJ36" s="3">
        <v>0.6</v>
      </c>
      <c r="AK36" s="6">
        <v>1.22</v>
      </c>
      <c r="AL36">
        <v>0.75</v>
      </c>
      <c r="AM36">
        <v>48.92</v>
      </c>
      <c r="AN36" s="14">
        <f t="shared" si="11"/>
        <v>9.7859571914382881E-2</v>
      </c>
      <c r="AO36" t="s">
        <v>208</v>
      </c>
      <c r="AP36" t="s">
        <v>285</v>
      </c>
    </row>
    <row r="37" spans="1:42" x14ac:dyDescent="0.2">
      <c r="A37" s="10" t="s">
        <v>68</v>
      </c>
      <c r="B37" s="10">
        <v>26</v>
      </c>
      <c r="C37" s="10" t="s">
        <v>64</v>
      </c>
      <c r="D37" s="1">
        <v>1.1399999999999999</v>
      </c>
      <c r="E37" s="1">
        <v>18.368421052631579</v>
      </c>
      <c r="F37" s="1">
        <v>499.9</v>
      </c>
      <c r="G37" s="1">
        <v>6.82</v>
      </c>
      <c r="H37" s="1">
        <v>284.8</v>
      </c>
      <c r="I37" t="s">
        <v>24</v>
      </c>
      <c r="J37" s="10" t="s">
        <v>25</v>
      </c>
      <c r="K37" s="10" t="s">
        <v>26</v>
      </c>
      <c r="L37" s="10">
        <v>6.6</v>
      </c>
      <c r="M37" s="6">
        <v>0</v>
      </c>
      <c r="N37" s="2">
        <f t="shared" si="4"/>
        <v>0</v>
      </c>
      <c r="O37">
        <v>0</v>
      </c>
      <c r="P37" s="2">
        <f t="shared" si="5"/>
        <v>0</v>
      </c>
      <c r="Q37" s="5">
        <v>0.15</v>
      </c>
      <c r="R37">
        <v>49.27</v>
      </c>
      <c r="S37" s="2">
        <v>0.85399999999999998</v>
      </c>
      <c r="T37" s="1">
        <f t="shared" si="8"/>
        <v>42.07658</v>
      </c>
      <c r="U37" s="2">
        <f t="shared" si="6"/>
        <v>0.14774080056179775</v>
      </c>
      <c r="V37" s="1">
        <f>689.64/42.1</f>
        <v>16.380997624703088</v>
      </c>
      <c r="W37">
        <v>0.15</v>
      </c>
      <c r="X37">
        <v>0.06</v>
      </c>
      <c r="Y37">
        <v>4.12</v>
      </c>
      <c r="Z37" s="2">
        <f t="shared" si="7"/>
        <v>9.7916703306209774E-2</v>
      </c>
      <c r="AA37" s="6">
        <v>0</v>
      </c>
      <c r="AB37" s="2">
        <f t="shared" si="9"/>
        <v>0</v>
      </c>
      <c r="AC37" s="3">
        <v>0</v>
      </c>
      <c r="AD37">
        <v>0.15</v>
      </c>
      <c r="AE37" s="6">
        <v>2.14</v>
      </c>
      <c r="AF37" s="2">
        <f t="shared" si="10"/>
        <v>0.11650429799426935</v>
      </c>
      <c r="AG37" s="9">
        <f>2.14/4.27</f>
        <v>0.50117096018735374</v>
      </c>
      <c r="AH37">
        <v>1.53</v>
      </c>
      <c r="AI37">
        <v>1.53</v>
      </c>
      <c r="AJ37" s="3">
        <v>0.5</v>
      </c>
      <c r="AK37" s="6">
        <v>0.92</v>
      </c>
      <c r="AL37">
        <v>0.61</v>
      </c>
      <c r="AM37">
        <v>62.08</v>
      </c>
      <c r="AN37" s="14">
        <f t="shared" si="11"/>
        <v>0.12418483696739348</v>
      </c>
      <c r="AO37" t="s">
        <v>207</v>
      </c>
      <c r="AP37" t="s">
        <v>285</v>
      </c>
    </row>
    <row r="38" spans="1:42" x14ac:dyDescent="0.2">
      <c r="A38" s="10" t="s">
        <v>70</v>
      </c>
      <c r="B38" s="10">
        <v>20</v>
      </c>
      <c r="C38" s="10" t="s">
        <v>69</v>
      </c>
      <c r="D38" s="1">
        <v>1.4</v>
      </c>
      <c r="E38" s="1">
        <v>18.55263157894737</v>
      </c>
      <c r="F38" s="1">
        <v>623.1</v>
      </c>
      <c r="G38" s="1">
        <v>8.89</v>
      </c>
      <c r="H38" s="1">
        <v>416.3</v>
      </c>
      <c r="I38" t="s">
        <v>24</v>
      </c>
      <c r="J38" t="s">
        <v>25</v>
      </c>
      <c r="K38" t="s">
        <v>26</v>
      </c>
      <c r="L38" s="10">
        <v>29.6</v>
      </c>
      <c r="M38" s="6">
        <v>0.1</v>
      </c>
      <c r="N38" s="2">
        <f t="shared" si="4"/>
        <v>7.1428571428571438E-2</v>
      </c>
      <c r="O38">
        <v>0.1</v>
      </c>
      <c r="P38" s="2">
        <f t="shared" si="5"/>
        <v>7.1428571428571438E-2</v>
      </c>
      <c r="Q38" s="5">
        <v>1.49</v>
      </c>
      <c r="R38">
        <v>44.44</v>
      </c>
      <c r="S38" s="2">
        <v>0.874</v>
      </c>
      <c r="T38" s="1">
        <f t="shared" si="8"/>
        <v>38.840559999999996</v>
      </c>
      <c r="U38" s="2">
        <f t="shared" si="6"/>
        <v>9.3299447513812139E-2</v>
      </c>
      <c r="V38" s="1">
        <f>652.93/38.86</f>
        <v>16.802110138960369</v>
      </c>
      <c r="W38">
        <v>0.03</v>
      </c>
      <c r="X38">
        <v>0.04</v>
      </c>
      <c r="Y38">
        <v>3.99</v>
      </c>
      <c r="Z38" s="2">
        <f t="shared" si="7"/>
        <v>0.10272766407075491</v>
      </c>
      <c r="AA38" s="6">
        <v>1.1200000000000001</v>
      </c>
      <c r="AB38" s="2">
        <f t="shared" si="9"/>
        <v>0.12598425196850394</v>
      </c>
      <c r="AC38" s="2">
        <v>0.57899999999999996</v>
      </c>
      <c r="AD38">
        <v>1.45</v>
      </c>
      <c r="AE38" s="6">
        <v>1.56</v>
      </c>
      <c r="AF38" s="2">
        <f t="shared" si="10"/>
        <v>8.4085106382978725E-2</v>
      </c>
      <c r="AG38" s="9">
        <f>1.56/2.67</f>
        <v>0.5842696629213483</v>
      </c>
      <c r="AH38">
        <v>1.59</v>
      </c>
      <c r="AI38">
        <v>1.32</v>
      </c>
      <c r="AJ38" s="3">
        <v>0.6</v>
      </c>
      <c r="AK38" s="6">
        <v>1.56</v>
      </c>
      <c r="AL38">
        <v>0.98</v>
      </c>
      <c r="AM38">
        <v>57.4</v>
      </c>
      <c r="AN38" s="14">
        <f t="shared" si="11"/>
        <v>9.2120044936607276E-2</v>
      </c>
      <c r="AO38" t="s">
        <v>209</v>
      </c>
      <c r="AP38" t="s">
        <v>286</v>
      </c>
    </row>
    <row r="39" spans="1:42" x14ac:dyDescent="0.2">
      <c r="A39" s="10" t="s">
        <v>71</v>
      </c>
      <c r="B39" s="10">
        <v>20</v>
      </c>
      <c r="C39" s="10" t="s">
        <v>69</v>
      </c>
      <c r="D39" s="1">
        <v>1.4</v>
      </c>
      <c r="E39" s="1">
        <v>18.55263157894737</v>
      </c>
      <c r="F39" s="1">
        <v>623.1</v>
      </c>
      <c r="G39" s="1">
        <v>8.89</v>
      </c>
      <c r="H39" s="1">
        <v>416.3</v>
      </c>
      <c r="I39" t="s">
        <v>24</v>
      </c>
      <c r="J39" s="10" t="s">
        <v>25</v>
      </c>
      <c r="K39" s="10" t="s">
        <v>26</v>
      </c>
      <c r="L39" s="10">
        <v>21.8</v>
      </c>
      <c r="M39" s="6">
        <v>0.11</v>
      </c>
      <c r="N39" s="2">
        <f t="shared" si="4"/>
        <v>7.8571428571428584E-2</v>
      </c>
      <c r="O39">
        <v>0.09</v>
      </c>
      <c r="P39" s="2">
        <f t="shared" si="5"/>
        <v>6.4285714285714293E-2</v>
      </c>
      <c r="Q39" s="5">
        <v>1.28</v>
      </c>
      <c r="R39">
        <v>44.56</v>
      </c>
      <c r="S39" s="2">
        <v>0.81499999999999995</v>
      </c>
      <c r="T39" s="1">
        <f t="shared" si="8"/>
        <v>36.316400000000002</v>
      </c>
      <c r="U39" s="2">
        <f t="shared" si="6"/>
        <v>8.723612779245736E-2</v>
      </c>
      <c r="V39" s="1">
        <f>545.73/36.32</f>
        <v>15.025605726872246</v>
      </c>
      <c r="W39">
        <v>0.05</v>
      </c>
      <c r="X39">
        <v>0.11</v>
      </c>
      <c r="Y39">
        <v>3.44</v>
      </c>
      <c r="Z39" s="2">
        <f t="shared" si="7"/>
        <v>9.472304523576125E-2</v>
      </c>
      <c r="AA39" s="6">
        <v>0.82</v>
      </c>
      <c r="AB39" s="2">
        <f t="shared" si="9"/>
        <v>9.223847019122608E-2</v>
      </c>
      <c r="AC39" s="3">
        <v>0.4</v>
      </c>
      <c r="AD39">
        <v>1.37</v>
      </c>
      <c r="AE39" s="6">
        <v>1.47</v>
      </c>
      <c r="AF39" s="2">
        <f t="shared" si="10"/>
        <v>7.9234042553191483E-2</v>
      </c>
      <c r="AG39" s="9">
        <f>1.47/2.7</f>
        <v>0.5444444444444444</v>
      </c>
      <c r="AH39">
        <v>1.1000000000000001</v>
      </c>
      <c r="AI39">
        <v>0.73</v>
      </c>
      <c r="AJ39" s="2">
        <v>0.44400000000000001</v>
      </c>
      <c r="AK39" s="6">
        <v>0.92</v>
      </c>
      <c r="AL39">
        <v>2.79</v>
      </c>
      <c r="AM39">
        <v>56.47</v>
      </c>
      <c r="AN39" s="14">
        <f t="shared" si="11"/>
        <v>9.0627507623174439E-2</v>
      </c>
      <c r="AO39" t="s">
        <v>210</v>
      </c>
      <c r="AP39" t="s">
        <v>286</v>
      </c>
    </row>
    <row r="40" spans="1:42" x14ac:dyDescent="0.2">
      <c r="A40" s="10" t="s">
        <v>72</v>
      </c>
      <c r="B40" s="10">
        <v>23</v>
      </c>
      <c r="C40" s="10" t="s">
        <v>69</v>
      </c>
      <c r="D40" s="1">
        <v>1.4</v>
      </c>
      <c r="E40" s="1">
        <v>18.55263157894737</v>
      </c>
      <c r="F40" s="1">
        <v>623.1</v>
      </c>
      <c r="G40" s="1">
        <v>8.89</v>
      </c>
      <c r="H40" s="1">
        <v>416.3</v>
      </c>
      <c r="I40" t="s">
        <v>24</v>
      </c>
      <c r="J40" t="s">
        <v>25</v>
      </c>
      <c r="K40" t="s">
        <v>26</v>
      </c>
      <c r="L40" s="10">
        <v>10.4</v>
      </c>
      <c r="M40" s="6">
        <v>0.19</v>
      </c>
      <c r="N40" s="2">
        <f t="shared" si="4"/>
        <v>0.13571428571428573</v>
      </c>
      <c r="O40">
        <v>0.19</v>
      </c>
      <c r="P40" s="2">
        <f t="shared" si="5"/>
        <v>0.13571428571428573</v>
      </c>
      <c r="Q40" s="5">
        <v>2.0099999999999998</v>
      </c>
      <c r="R40">
        <v>39.630000000000003</v>
      </c>
      <c r="S40" s="2">
        <v>0.76500000000000001</v>
      </c>
      <c r="T40" s="1">
        <f t="shared" si="8"/>
        <v>30.316950000000002</v>
      </c>
      <c r="U40" s="2">
        <f t="shared" si="6"/>
        <v>7.2824765793898627E-2</v>
      </c>
      <c r="V40" s="1">
        <f>481.47/30.32</f>
        <v>15.879617414248022</v>
      </c>
      <c r="W40">
        <v>0.19</v>
      </c>
      <c r="X40">
        <v>0.23</v>
      </c>
      <c r="Y40">
        <v>3.65</v>
      </c>
      <c r="Z40" s="2">
        <f t="shared" si="7"/>
        <v>0.12039469669607265</v>
      </c>
      <c r="AA40" s="6">
        <v>0.77</v>
      </c>
      <c r="AB40" s="2">
        <f t="shared" si="9"/>
        <v>8.6614173228346455E-2</v>
      </c>
      <c r="AC40" s="2">
        <v>0.61499999999999999</v>
      </c>
      <c r="AD40">
        <v>2.11</v>
      </c>
      <c r="AE40" s="6">
        <v>0.86</v>
      </c>
      <c r="AF40" s="2">
        <f t="shared" si="10"/>
        <v>4.6354609929078007E-2</v>
      </c>
      <c r="AG40" s="9">
        <f>0.86/1.54</f>
        <v>0.55844155844155841</v>
      </c>
      <c r="AH40">
        <v>0.67</v>
      </c>
      <c r="AI40">
        <v>0.48</v>
      </c>
      <c r="AJ40" s="2">
        <v>0.38500000000000001</v>
      </c>
      <c r="AK40" s="6">
        <v>1.25</v>
      </c>
      <c r="AL40">
        <v>4.99</v>
      </c>
      <c r="AM40">
        <v>50.37</v>
      </c>
      <c r="AN40" s="14">
        <f t="shared" si="11"/>
        <v>8.0837746750120357E-2</v>
      </c>
      <c r="AO40" t="s">
        <v>211</v>
      </c>
      <c r="AP40" t="s">
        <v>286</v>
      </c>
    </row>
    <row r="41" spans="1:42" x14ac:dyDescent="0.2">
      <c r="A41" s="10" t="s">
        <v>73</v>
      </c>
      <c r="B41" s="10">
        <v>21</v>
      </c>
      <c r="C41" s="10" t="s">
        <v>69</v>
      </c>
      <c r="D41" s="1">
        <v>1.4</v>
      </c>
      <c r="E41" s="1">
        <v>18.55263157894737</v>
      </c>
      <c r="F41" s="1">
        <v>623.1</v>
      </c>
      <c r="G41" s="1">
        <v>8.89</v>
      </c>
      <c r="H41" s="1">
        <v>416.3</v>
      </c>
      <c r="I41" t="s">
        <v>24</v>
      </c>
      <c r="J41" s="10" t="s">
        <v>25</v>
      </c>
      <c r="K41" s="10" t="s">
        <v>26</v>
      </c>
      <c r="L41" s="10">
        <v>5.7</v>
      </c>
      <c r="M41" s="6">
        <v>0.16</v>
      </c>
      <c r="N41" s="2">
        <f t="shared" si="4"/>
        <v>0.1142857142857143</v>
      </c>
      <c r="O41">
        <v>0.17</v>
      </c>
      <c r="P41" s="2">
        <f t="shared" si="5"/>
        <v>0.12142857142857144</v>
      </c>
      <c r="Q41" s="5">
        <v>1.57</v>
      </c>
      <c r="R41">
        <v>52.67</v>
      </c>
      <c r="S41" s="2">
        <v>0.80500000000000005</v>
      </c>
      <c r="T41" s="1">
        <f t="shared" si="8"/>
        <v>42.399350000000005</v>
      </c>
      <c r="U41" s="2">
        <f t="shared" si="6"/>
        <v>0.10184806629834255</v>
      </c>
      <c r="V41" s="1">
        <f>647.97/42.38</f>
        <v>15.289523360075506</v>
      </c>
      <c r="W41">
        <v>0</v>
      </c>
      <c r="X41">
        <v>0.12</v>
      </c>
      <c r="Y41">
        <v>4.71</v>
      </c>
      <c r="Z41" s="2">
        <f t="shared" si="7"/>
        <v>0.11108660863904751</v>
      </c>
      <c r="AA41" s="6">
        <v>1.05</v>
      </c>
      <c r="AB41" s="2">
        <f t="shared" si="9"/>
        <v>0.11811023622047244</v>
      </c>
      <c r="AC41" s="3">
        <v>0.5</v>
      </c>
      <c r="AD41">
        <v>1.4</v>
      </c>
      <c r="AE41" s="6">
        <v>2.27</v>
      </c>
      <c r="AF41" s="2">
        <f t="shared" si="10"/>
        <v>0.12235460992907801</v>
      </c>
      <c r="AG41" s="9">
        <f>2.27/3.66</f>
        <v>0.6202185792349727</v>
      </c>
      <c r="AH41">
        <v>2.27</v>
      </c>
      <c r="AI41">
        <v>1.74</v>
      </c>
      <c r="AJ41" s="2">
        <v>0.71399999999999997</v>
      </c>
      <c r="AK41" s="6">
        <v>1.4</v>
      </c>
      <c r="AL41">
        <v>4.01</v>
      </c>
      <c r="AM41">
        <v>70.290000000000006</v>
      </c>
      <c r="AN41" s="14">
        <f t="shared" si="11"/>
        <v>0.11280693307655272</v>
      </c>
      <c r="AO41" t="s">
        <v>301</v>
      </c>
      <c r="AP41" t="s">
        <v>286</v>
      </c>
    </row>
    <row r="42" spans="1:42" x14ac:dyDescent="0.2">
      <c r="A42" s="10" t="s">
        <v>74</v>
      </c>
      <c r="B42" s="10">
        <v>24</v>
      </c>
      <c r="C42" s="10" t="s">
        <v>69</v>
      </c>
      <c r="D42" s="1">
        <v>1.4</v>
      </c>
      <c r="E42" s="1">
        <v>18.55263157894737</v>
      </c>
      <c r="F42" s="1">
        <v>623.1</v>
      </c>
      <c r="G42" s="1">
        <v>8.89</v>
      </c>
      <c r="H42" s="1">
        <v>416.3</v>
      </c>
      <c r="I42" t="s">
        <v>24</v>
      </c>
      <c r="J42" t="s">
        <v>25</v>
      </c>
      <c r="K42" t="s">
        <v>26</v>
      </c>
      <c r="L42" s="10">
        <v>11.3</v>
      </c>
      <c r="M42" s="6">
        <v>7.0000000000000007E-2</v>
      </c>
      <c r="N42" s="2">
        <f t="shared" si="4"/>
        <v>5.000000000000001E-2</v>
      </c>
      <c r="O42">
        <v>0.09</v>
      </c>
      <c r="P42" s="2">
        <f t="shared" si="5"/>
        <v>6.4285714285714293E-2</v>
      </c>
      <c r="Q42" s="5">
        <v>0.8</v>
      </c>
      <c r="R42">
        <v>61.89</v>
      </c>
      <c r="S42" s="2">
        <v>0.85099999999999998</v>
      </c>
      <c r="T42" s="1">
        <f t="shared" si="8"/>
        <v>52.668390000000002</v>
      </c>
      <c r="U42" s="2">
        <f t="shared" si="6"/>
        <v>0.12651546961325966</v>
      </c>
      <c r="V42" s="1">
        <f>865.6/52.67</f>
        <v>16.434402885893299</v>
      </c>
      <c r="W42">
        <v>0.27</v>
      </c>
      <c r="X42">
        <v>0.14000000000000001</v>
      </c>
      <c r="Y42">
        <v>5.5</v>
      </c>
      <c r="Z42" s="2">
        <f t="shared" si="7"/>
        <v>0.10442696273799142</v>
      </c>
      <c r="AA42" s="6">
        <v>0.62</v>
      </c>
      <c r="AB42" s="2">
        <f t="shared" si="9"/>
        <v>6.9741282339707528E-2</v>
      </c>
      <c r="AC42" s="2">
        <v>0.46700000000000003</v>
      </c>
      <c r="AD42">
        <v>1.6</v>
      </c>
      <c r="AE42" s="6">
        <v>3.01</v>
      </c>
      <c r="AF42" s="2">
        <f t="shared" si="10"/>
        <v>0.16224113475177301</v>
      </c>
      <c r="AG42" s="9">
        <f>3.01/5.14</f>
        <v>0.58560311284046696</v>
      </c>
      <c r="AH42">
        <v>1.6</v>
      </c>
      <c r="AI42">
        <v>2.84</v>
      </c>
      <c r="AJ42" s="2">
        <v>0.56100000000000005</v>
      </c>
      <c r="AK42" s="6">
        <v>1.51</v>
      </c>
      <c r="AL42">
        <v>2.04</v>
      </c>
      <c r="AM42">
        <v>76.88</v>
      </c>
      <c r="AN42" s="14">
        <f t="shared" si="11"/>
        <v>0.12338308457711442</v>
      </c>
      <c r="AO42" t="s">
        <v>212</v>
      </c>
      <c r="AP42" t="s">
        <v>286</v>
      </c>
    </row>
    <row r="43" spans="1:42" x14ac:dyDescent="0.2">
      <c r="A43" s="10" t="s">
        <v>76</v>
      </c>
      <c r="B43" s="10">
        <v>25</v>
      </c>
      <c r="C43" s="10" t="s">
        <v>75</v>
      </c>
      <c r="D43" s="1">
        <v>1.54</v>
      </c>
      <c r="E43" s="1">
        <v>18.184210526315791</v>
      </c>
      <c r="F43" s="1">
        <v>568.9</v>
      </c>
      <c r="G43" s="1">
        <v>7.74</v>
      </c>
      <c r="H43" s="1">
        <v>341.5</v>
      </c>
      <c r="I43" t="s">
        <v>24</v>
      </c>
      <c r="J43" t="s">
        <v>25</v>
      </c>
      <c r="K43" t="s">
        <v>26</v>
      </c>
      <c r="L43" s="10">
        <v>26</v>
      </c>
      <c r="M43" s="6">
        <v>0.22</v>
      </c>
      <c r="N43" s="2">
        <f t="shared" si="4"/>
        <v>0.14285714285714285</v>
      </c>
      <c r="O43">
        <v>0.23</v>
      </c>
      <c r="P43" s="2">
        <f t="shared" si="5"/>
        <v>0.14935064935064934</v>
      </c>
      <c r="Q43" s="5">
        <v>2.19</v>
      </c>
      <c r="R43">
        <v>30.08</v>
      </c>
      <c r="S43" s="2">
        <v>0.74399999999999999</v>
      </c>
      <c r="T43" s="1">
        <f t="shared" si="8"/>
        <v>22.379519999999999</v>
      </c>
      <c r="U43" s="2">
        <f t="shared" si="6"/>
        <v>6.553300146412884E-2</v>
      </c>
      <c r="V43" s="1">
        <f>340.15/22.38</f>
        <v>15.198838248436104</v>
      </c>
      <c r="W43">
        <v>0.23</v>
      </c>
      <c r="X43">
        <v>0.18</v>
      </c>
      <c r="Y43">
        <v>4.04</v>
      </c>
      <c r="Z43" s="2">
        <f t="shared" si="7"/>
        <v>0.18052219171814229</v>
      </c>
      <c r="AA43" s="6">
        <v>1.38</v>
      </c>
      <c r="AB43" s="2">
        <f t="shared" si="9"/>
        <v>0.17829457364341084</v>
      </c>
      <c r="AC43" s="2">
        <v>0.41399999999999998</v>
      </c>
      <c r="AD43">
        <v>3.12</v>
      </c>
      <c r="AE43" s="6">
        <v>0.42</v>
      </c>
      <c r="AF43" s="2">
        <f t="shared" si="10"/>
        <v>2.309696092619392E-2</v>
      </c>
      <c r="AG43" s="9">
        <f>0.42/0.88</f>
        <v>0.47727272727272724</v>
      </c>
      <c r="AH43">
        <v>0.92</v>
      </c>
      <c r="AI43">
        <v>0.31</v>
      </c>
      <c r="AJ43" s="2">
        <v>0.222</v>
      </c>
      <c r="AK43" s="6">
        <v>0.54</v>
      </c>
      <c r="AL43">
        <v>6.65</v>
      </c>
      <c r="AM43">
        <v>41.77</v>
      </c>
      <c r="AN43" s="14">
        <f t="shared" si="11"/>
        <v>7.3422394093865362E-2</v>
      </c>
      <c r="AO43" t="s">
        <v>213</v>
      </c>
      <c r="AP43" t="s">
        <v>287</v>
      </c>
    </row>
    <row r="44" spans="1:42" x14ac:dyDescent="0.2">
      <c r="A44" s="10" t="s">
        <v>77</v>
      </c>
      <c r="B44" s="10">
        <v>29</v>
      </c>
      <c r="C44" s="10" t="s">
        <v>75</v>
      </c>
      <c r="D44" s="1">
        <v>1.54</v>
      </c>
      <c r="E44" s="1">
        <v>18.184210526315791</v>
      </c>
      <c r="F44" s="1">
        <v>568.9</v>
      </c>
      <c r="G44" s="1">
        <v>7.74</v>
      </c>
      <c r="H44" s="1">
        <v>341.5</v>
      </c>
      <c r="I44" t="s">
        <v>24</v>
      </c>
      <c r="J44" t="s">
        <v>25</v>
      </c>
      <c r="K44" t="s">
        <v>26</v>
      </c>
      <c r="L44" s="10">
        <v>23.5</v>
      </c>
      <c r="M44" s="6">
        <v>0.08</v>
      </c>
      <c r="N44" s="2">
        <f t="shared" si="4"/>
        <v>5.1948051948051945E-2</v>
      </c>
      <c r="O44">
        <v>0.09</v>
      </c>
      <c r="P44" s="2">
        <f t="shared" si="5"/>
        <v>5.844155844155844E-2</v>
      </c>
      <c r="Q44" s="5">
        <v>1.4</v>
      </c>
      <c r="R44">
        <v>44.89</v>
      </c>
      <c r="S44" s="2">
        <v>0.79300000000000004</v>
      </c>
      <c r="T44" s="1">
        <f t="shared" si="8"/>
        <v>35.597770000000004</v>
      </c>
      <c r="U44" s="2">
        <f t="shared" si="6"/>
        <v>0.10423944363103954</v>
      </c>
      <c r="V44" s="1">
        <f>632.68/35.58</f>
        <v>17.781899943788645</v>
      </c>
      <c r="W44">
        <v>0.13</v>
      </c>
      <c r="X44">
        <v>0.13</v>
      </c>
      <c r="Y44">
        <v>5.82</v>
      </c>
      <c r="Z44" s="2">
        <f t="shared" si="7"/>
        <v>0.16349338736668054</v>
      </c>
      <c r="AA44" s="6">
        <v>0.98</v>
      </c>
      <c r="AB44" s="2">
        <f t="shared" si="9"/>
        <v>0.12661498708010335</v>
      </c>
      <c r="AC44" s="2">
        <v>0.47899999999999998</v>
      </c>
      <c r="AD44">
        <v>1.45</v>
      </c>
      <c r="AE44" s="6">
        <v>1.4</v>
      </c>
      <c r="AF44" s="2">
        <f t="shared" si="10"/>
        <v>7.6989869753979728E-2</v>
      </c>
      <c r="AG44" s="9">
        <f>1.4/2.3</f>
        <v>0.60869565217391308</v>
      </c>
      <c r="AH44">
        <v>1.87</v>
      </c>
      <c r="AI44">
        <v>0.85</v>
      </c>
      <c r="AJ44" s="2">
        <v>0.41699999999999998</v>
      </c>
      <c r="AK44" s="6">
        <v>1.28</v>
      </c>
      <c r="AL44">
        <v>1.87</v>
      </c>
      <c r="AM44">
        <v>58.5</v>
      </c>
      <c r="AN44" s="14">
        <f t="shared" si="11"/>
        <v>0.1028300228511162</v>
      </c>
      <c r="AO44" t="s">
        <v>214</v>
      </c>
      <c r="AP44" t="s">
        <v>287</v>
      </c>
    </row>
    <row r="45" spans="1:42" x14ac:dyDescent="0.2">
      <c r="A45" s="10" t="s">
        <v>78</v>
      </c>
      <c r="B45" s="10">
        <v>25</v>
      </c>
      <c r="C45" s="10" t="s">
        <v>75</v>
      </c>
      <c r="D45" s="1">
        <v>1.54</v>
      </c>
      <c r="E45" s="1">
        <v>18.184210526315791</v>
      </c>
      <c r="F45" s="1">
        <v>568.9</v>
      </c>
      <c r="G45" s="1">
        <v>7.74</v>
      </c>
      <c r="H45" s="1">
        <v>341.5</v>
      </c>
      <c r="I45" t="s">
        <v>24</v>
      </c>
      <c r="J45" t="s">
        <v>25</v>
      </c>
      <c r="K45" t="s">
        <v>26</v>
      </c>
      <c r="L45" s="10">
        <v>21.8</v>
      </c>
      <c r="M45" s="6">
        <v>7.0000000000000007E-2</v>
      </c>
      <c r="N45" s="2">
        <f t="shared" si="4"/>
        <v>4.5454545454545456E-2</v>
      </c>
      <c r="O45">
        <v>0</v>
      </c>
      <c r="P45" s="2">
        <f t="shared" si="5"/>
        <v>0</v>
      </c>
      <c r="Q45" s="5">
        <v>0.41</v>
      </c>
      <c r="R45">
        <v>48.96</v>
      </c>
      <c r="S45" s="2">
        <v>0.84399999999999997</v>
      </c>
      <c r="T45" s="1">
        <f t="shared" si="8"/>
        <v>41.322240000000001</v>
      </c>
      <c r="U45" s="2">
        <f t="shared" si="6"/>
        <v>0.12100216691068814</v>
      </c>
      <c r="V45" s="1">
        <f>655.97/41.32</f>
        <v>15.875363020329139</v>
      </c>
      <c r="W45">
        <v>0.14000000000000001</v>
      </c>
      <c r="X45">
        <v>0.05</v>
      </c>
      <c r="Y45">
        <v>3.48</v>
      </c>
      <c r="Z45" s="2">
        <f t="shared" si="7"/>
        <v>8.4216150915342444E-2</v>
      </c>
      <c r="AA45" s="6">
        <v>0.18</v>
      </c>
      <c r="AB45" s="2">
        <f t="shared" si="9"/>
        <v>2.3255813953488372E-2</v>
      </c>
      <c r="AC45" s="2">
        <v>0.222</v>
      </c>
      <c r="AD45">
        <v>0.64</v>
      </c>
      <c r="AE45" s="6">
        <v>2.29</v>
      </c>
      <c r="AF45" s="2">
        <f t="shared" si="10"/>
        <v>0.12593342981186684</v>
      </c>
      <c r="AG45" s="9">
        <f>2.29/3.8</f>
        <v>0.60263157894736841</v>
      </c>
      <c r="AH45">
        <v>1.51</v>
      </c>
      <c r="AI45">
        <v>1.42</v>
      </c>
      <c r="AJ45" s="2">
        <v>0.63300000000000001</v>
      </c>
      <c r="AK45" s="6">
        <v>1.47</v>
      </c>
      <c r="AL45">
        <v>0.46</v>
      </c>
      <c r="AM45">
        <v>61.24</v>
      </c>
      <c r="AN45" s="14">
        <f t="shared" si="11"/>
        <v>0.1076463350325189</v>
      </c>
      <c r="AO45" t="s">
        <v>215</v>
      </c>
      <c r="AP45" t="s">
        <v>287</v>
      </c>
    </row>
    <row r="46" spans="1:42" x14ac:dyDescent="0.2">
      <c r="A46" s="10" t="s">
        <v>79</v>
      </c>
      <c r="B46" s="10">
        <v>20</v>
      </c>
      <c r="C46" s="10" t="s">
        <v>75</v>
      </c>
      <c r="D46" s="1">
        <v>1.54</v>
      </c>
      <c r="E46" s="1">
        <v>18.184210526315791</v>
      </c>
      <c r="F46" s="1">
        <v>568.9</v>
      </c>
      <c r="G46" s="1">
        <v>7.74</v>
      </c>
      <c r="H46" s="1">
        <v>341.5</v>
      </c>
      <c r="I46" t="s">
        <v>24</v>
      </c>
      <c r="J46" t="s">
        <v>25</v>
      </c>
      <c r="K46" t="s">
        <v>26</v>
      </c>
      <c r="L46" s="10">
        <v>8.4</v>
      </c>
      <c r="M46" s="6">
        <v>0.08</v>
      </c>
      <c r="N46" s="2">
        <f t="shared" si="4"/>
        <v>5.1948051948051945E-2</v>
      </c>
      <c r="O46">
        <v>0</v>
      </c>
      <c r="P46" s="2">
        <f t="shared" si="5"/>
        <v>0</v>
      </c>
      <c r="Q46" s="5">
        <v>1.79</v>
      </c>
      <c r="R46">
        <v>40.770000000000003</v>
      </c>
      <c r="S46" s="2">
        <v>0.83599999999999997</v>
      </c>
      <c r="T46" s="1">
        <f t="shared" si="8"/>
        <v>34.08372</v>
      </c>
      <c r="U46" s="2">
        <f t="shared" si="6"/>
        <v>9.980591508052708E-2</v>
      </c>
      <c r="V46" s="1">
        <f>546.32/34.09</f>
        <v>16.025814021707244</v>
      </c>
      <c r="W46">
        <v>0</v>
      </c>
      <c r="X46">
        <v>0.11</v>
      </c>
      <c r="Y46">
        <v>6.2</v>
      </c>
      <c r="Z46" s="2">
        <f t="shared" si="7"/>
        <v>0.18190502679871798</v>
      </c>
      <c r="AA46" s="6">
        <v>0.72</v>
      </c>
      <c r="AB46" s="2">
        <f t="shared" si="9"/>
        <v>9.3023255813953487E-2</v>
      </c>
      <c r="AC46" s="2">
        <v>0.23100000000000001</v>
      </c>
      <c r="AD46">
        <v>1.79</v>
      </c>
      <c r="AE46" s="6">
        <v>1.67</v>
      </c>
      <c r="AF46" s="2">
        <f t="shared" si="10"/>
        <v>9.183791606367582E-2</v>
      </c>
      <c r="AG46" s="9">
        <f>1.67/3.22</f>
        <v>0.51863354037267073</v>
      </c>
      <c r="AH46">
        <v>2.0299999999999998</v>
      </c>
      <c r="AI46">
        <v>0.83</v>
      </c>
      <c r="AJ46" s="3">
        <v>0.5</v>
      </c>
      <c r="AK46" s="6">
        <v>1.19</v>
      </c>
      <c r="AL46">
        <v>3.93</v>
      </c>
      <c r="AM46">
        <v>57.81</v>
      </c>
      <c r="AN46" s="14">
        <f t="shared" si="11"/>
        <v>0.10161715591492354</v>
      </c>
      <c r="AO46" t="s">
        <v>216</v>
      </c>
      <c r="AP46" t="s">
        <v>287</v>
      </c>
    </row>
    <row r="47" spans="1:42" x14ac:dyDescent="0.2">
      <c r="A47" s="10" t="s">
        <v>80</v>
      </c>
      <c r="B47" s="10">
        <v>27</v>
      </c>
      <c r="C47" s="10" t="s">
        <v>75</v>
      </c>
      <c r="D47" s="1">
        <v>1.54</v>
      </c>
      <c r="E47" s="1">
        <v>18.184210526315791</v>
      </c>
      <c r="F47" s="1">
        <v>568.9</v>
      </c>
      <c r="G47" s="1">
        <v>7.74</v>
      </c>
      <c r="H47" s="1">
        <v>341.5</v>
      </c>
      <c r="I47" t="s">
        <v>24</v>
      </c>
      <c r="J47" s="10" t="s">
        <v>25</v>
      </c>
      <c r="K47" s="10" t="s">
        <v>26</v>
      </c>
      <c r="L47" s="10">
        <v>33.1</v>
      </c>
      <c r="M47" s="6">
        <v>0.03</v>
      </c>
      <c r="N47" s="2">
        <f t="shared" si="4"/>
        <v>1.948051948051948E-2</v>
      </c>
      <c r="O47">
        <v>0.03</v>
      </c>
      <c r="P47" s="2">
        <f t="shared" si="5"/>
        <v>1.948051948051948E-2</v>
      </c>
      <c r="Q47" s="5">
        <v>0.42</v>
      </c>
      <c r="R47">
        <v>47.9</v>
      </c>
      <c r="S47" s="2">
        <v>0.77200000000000002</v>
      </c>
      <c r="T47" s="1">
        <f t="shared" si="8"/>
        <v>36.9788</v>
      </c>
      <c r="U47" s="2">
        <f t="shared" si="6"/>
        <v>0.10828345534407027</v>
      </c>
      <c r="V47" s="1">
        <f>638.85/36.99</f>
        <v>17.270884022708842</v>
      </c>
      <c r="W47">
        <v>0.09</v>
      </c>
      <c r="X47">
        <v>0.12</v>
      </c>
      <c r="Y47">
        <v>4.78</v>
      </c>
      <c r="Z47" s="2">
        <f t="shared" si="7"/>
        <v>0.12926325353986609</v>
      </c>
      <c r="AA47" s="6">
        <v>0.39</v>
      </c>
      <c r="AB47" s="2">
        <f t="shared" si="9"/>
        <v>5.0387596899224806E-2</v>
      </c>
      <c r="AC47" s="3">
        <v>0.65</v>
      </c>
      <c r="AD47">
        <v>1</v>
      </c>
      <c r="AE47" s="6">
        <v>1.27</v>
      </c>
      <c r="AF47" s="2">
        <f t="shared" si="10"/>
        <v>6.9840810419681612E-2</v>
      </c>
      <c r="AG47" s="9">
        <f>1.27/2.45</f>
        <v>0.51836734693877551</v>
      </c>
      <c r="AH47">
        <v>0.91</v>
      </c>
      <c r="AI47">
        <v>1.24</v>
      </c>
      <c r="AJ47" s="2">
        <v>0.54700000000000004</v>
      </c>
      <c r="AK47" s="6">
        <v>1.24</v>
      </c>
      <c r="AL47">
        <v>1.57</v>
      </c>
      <c r="AM47">
        <v>57.42</v>
      </c>
      <c r="AN47" s="14">
        <f t="shared" si="11"/>
        <v>0.10093162242924944</v>
      </c>
      <c r="AO47" t="s">
        <v>217</v>
      </c>
      <c r="AP47" t="s">
        <v>287</v>
      </c>
    </row>
    <row r="48" spans="1:42" x14ac:dyDescent="0.2">
      <c r="A48" s="10" t="s">
        <v>81</v>
      </c>
      <c r="B48" s="10">
        <v>24</v>
      </c>
      <c r="C48" s="10" t="s">
        <v>82</v>
      </c>
      <c r="D48" s="1">
        <v>1.43</v>
      </c>
      <c r="E48" s="1">
        <v>6.4591836734693882</v>
      </c>
      <c r="F48" s="1">
        <v>565.6</v>
      </c>
      <c r="G48" s="1">
        <v>6.97</v>
      </c>
      <c r="H48" s="1">
        <v>351.5</v>
      </c>
      <c r="I48" t="s">
        <v>24</v>
      </c>
      <c r="J48" t="s">
        <v>25</v>
      </c>
      <c r="K48" t="s">
        <v>26</v>
      </c>
      <c r="L48" s="10">
        <v>32.299999999999997</v>
      </c>
      <c r="M48" s="6">
        <v>0.09</v>
      </c>
      <c r="N48" s="2">
        <f t="shared" si="4"/>
        <v>6.2937062937062943E-2</v>
      </c>
      <c r="O48">
        <v>0.06</v>
      </c>
      <c r="P48" s="2">
        <f t="shared" si="5"/>
        <v>4.195804195804196E-2</v>
      </c>
      <c r="Q48" s="5">
        <v>1.08</v>
      </c>
      <c r="R48">
        <v>47.27</v>
      </c>
      <c r="S48" s="2">
        <v>0.72399999999999998</v>
      </c>
      <c r="T48" s="1">
        <f t="shared" si="8"/>
        <v>34.223480000000002</v>
      </c>
      <c r="U48" s="2">
        <f t="shared" si="6"/>
        <v>9.7364096728307259E-2</v>
      </c>
      <c r="V48" s="1">
        <f>589.37/34.23</f>
        <v>17.217937481741163</v>
      </c>
      <c r="W48">
        <v>0.31</v>
      </c>
      <c r="X48">
        <v>0.26</v>
      </c>
      <c r="Y48">
        <v>7.23</v>
      </c>
      <c r="Z48" s="2">
        <f t="shared" si="7"/>
        <v>0.21125846933158171</v>
      </c>
      <c r="AA48" s="6">
        <v>1.55</v>
      </c>
      <c r="AB48" s="2">
        <f t="shared" si="9"/>
        <v>0.22238163558106172</v>
      </c>
      <c r="AC48" s="2">
        <v>0.51500000000000001</v>
      </c>
      <c r="AD48">
        <v>2.2599999999999998</v>
      </c>
      <c r="AE48" s="6">
        <v>1.36</v>
      </c>
      <c r="AF48" s="2">
        <f t="shared" si="10"/>
        <v>0.21055292259083727</v>
      </c>
      <c r="AG48" s="9">
        <f>1.36/2.57</f>
        <v>0.52918287937743202</v>
      </c>
      <c r="AH48">
        <v>1.24</v>
      </c>
      <c r="AI48">
        <v>0.37</v>
      </c>
      <c r="AJ48" s="2">
        <v>0.308</v>
      </c>
      <c r="AK48" s="6">
        <v>0.83</v>
      </c>
      <c r="AL48">
        <v>4.24</v>
      </c>
      <c r="AM48">
        <v>58.22</v>
      </c>
      <c r="AN48" s="14">
        <f t="shared" si="11"/>
        <v>0.10293493635077793</v>
      </c>
      <c r="AO48" t="s">
        <v>218</v>
      </c>
      <c r="AP48" t="s">
        <v>288</v>
      </c>
    </row>
    <row r="49" spans="1:42" x14ac:dyDescent="0.2">
      <c r="A49" s="10" t="s">
        <v>83</v>
      </c>
      <c r="B49" s="10">
        <v>30</v>
      </c>
      <c r="C49" s="10" t="s">
        <v>82</v>
      </c>
      <c r="D49" s="1">
        <v>1.43</v>
      </c>
      <c r="E49" s="1">
        <v>6.4591836734693882</v>
      </c>
      <c r="F49" s="1">
        <v>565.6</v>
      </c>
      <c r="G49" s="1">
        <v>6.97</v>
      </c>
      <c r="H49" s="1">
        <v>351.5</v>
      </c>
      <c r="I49" t="s">
        <v>24</v>
      </c>
      <c r="J49" s="10" t="s">
        <v>25</v>
      </c>
      <c r="K49" s="10" t="s">
        <v>26</v>
      </c>
      <c r="L49" s="10">
        <v>31.4</v>
      </c>
      <c r="M49" s="6">
        <v>0.14000000000000001</v>
      </c>
      <c r="N49" s="2">
        <f t="shared" si="4"/>
        <v>9.7902097902097918E-2</v>
      </c>
      <c r="O49">
        <v>0.16</v>
      </c>
      <c r="P49" s="2">
        <f t="shared" si="5"/>
        <v>0.1118881118881119</v>
      </c>
      <c r="Q49" s="5">
        <v>1.25</v>
      </c>
      <c r="R49">
        <v>45.56</v>
      </c>
      <c r="S49" s="2">
        <v>0.81599999999999995</v>
      </c>
      <c r="T49" s="1">
        <f t="shared" si="8"/>
        <v>37.176960000000001</v>
      </c>
      <c r="U49" s="2">
        <f t="shared" si="6"/>
        <v>0.10576660028449503</v>
      </c>
      <c r="V49" s="1">
        <f>617.42/37.16</f>
        <v>16.615177610333692</v>
      </c>
      <c r="W49">
        <v>0.13</v>
      </c>
      <c r="X49">
        <v>0.04</v>
      </c>
      <c r="Y49">
        <v>4.92</v>
      </c>
      <c r="Z49" s="2">
        <f t="shared" si="7"/>
        <v>0.13234002995403604</v>
      </c>
      <c r="AA49" s="6">
        <v>0.22</v>
      </c>
      <c r="AB49" s="2">
        <f t="shared" si="9"/>
        <v>3.1563845050215207E-2</v>
      </c>
      <c r="AC49" s="3">
        <v>0.5</v>
      </c>
      <c r="AD49">
        <v>0.45</v>
      </c>
      <c r="AE49" s="12">
        <v>1.56</v>
      </c>
      <c r="AF49" s="2">
        <f t="shared" si="10"/>
        <v>0.2415165876777251</v>
      </c>
      <c r="AG49" s="9">
        <f>1.56/2.52</f>
        <v>0.61904761904761907</v>
      </c>
      <c r="AH49">
        <v>1.66</v>
      </c>
      <c r="AI49">
        <v>1.56</v>
      </c>
      <c r="AJ49" s="3">
        <v>0.62</v>
      </c>
      <c r="AK49" s="6">
        <v>1.56</v>
      </c>
      <c r="AL49">
        <v>1.34</v>
      </c>
      <c r="AM49">
        <v>57.53</v>
      </c>
      <c r="AN49" s="14">
        <f t="shared" si="11"/>
        <v>0.10171499292786421</v>
      </c>
      <c r="AO49" t="s">
        <v>219</v>
      </c>
      <c r="AP49" t="s">
        <v>288</v>
      </c>
    </row>
    <row r="50" spans="1:42" x14ac:dyDescent="0.2">
      <c r="A50" s="10" t="s">
        <v>84</v>
      </c>
      <c r="B50" s="10">
        <v>26</v>
      </c>
      <c r="C50" s="10" t="s">
        <v>82</v>
      </c>
      <c r="D50" s="1">
        <v>1.43</v>
      </c>
      <c r="E50" s="1">
        <v>6.4591836734693882</v>
      </c>
      <c r="F50" s="1">
        <v>565.6</v>
      </c>
      <c r="G50" s="1">
        <v>6.97</v>
      </c>
      <c r="H50" s="1">
        <v>351.5</v>
      </c>
      <c r="I50" t="s">
        <v>24</v>
      </c>
      <c r="J50" t="s">
        <v>25</v>
      </c>
      <c r="K50" t="s">
        <v>26</v>
      </c>
      <c r="L50" s="10">
        <v>25</v>
      </c>
      <c r="M50" s="6">
        <v>0.03</v>
      </c>
      <c r="N50" s="2">
        <f t="shared" si="4"/>
        <v>2.097902097902098E-2</v>
      </c>
      <c r="O50">
        <v>0.04</v>
      </c>
      <c r="P50" s="2">
        <f t="shared" si="5"/>
        <v>2.7972027972027975E-2</v>
      </c>
      <c r="Q50" s="5">
        <v>0.56000000000000005</v>
      </c>
      <c r="R50">
        <v>42.21</v>
      </c>
      <c r="S50" s="2">
        <v>0.82499999999999996</v>
      </c>
      <c r="T50" s="1">
        <f t="shared" si="8"/>
        <v>34.823250000000002</v>
      </c>
      <c r="U50" s="2">
        <f t="shared" si="6"/>
        <v>9.907041251778094E-2</v>
      </c>
      <c r="V50" s="1">
        <f>577.61/34.82</f>
        <v>16.588454910970707</v>
      </c>
      <c r="W50">
        <v>0.12</v>
      </c>
      <c r="X50">
        <v>0.09</v>
      </c>
      <c r="Y50">
        <v>3.19</v>
      </c>
      <c r="Z50" s="2">
        <f t="shared" si="7"/>
        <v>9.1605464739793085E-2</v>
      </c>
      <c r="AA50" s="6">
        <v>0.12</v>
      </c>
      <c r="AB50" s="2">
        <f t="shared" si="9"/>
        <v>1.721664275466284E-2</v>
      </c>
      <c r="AC50" s="3">
        <v>0.25</v>
      </c>
      <c r="AD50">
        <v>0.68</v>
      </c>
      <c r="AE50" s="6">
        <v>0.88</v>
      </c>
      <c r="AF50" s="2">
        <f t="shared" si="10"/>
        <v>0.13624012638230648</v>
      </c>
      <c r="AG50" s="9">
        <f>0.88/1.52</f>
        <v>0.57894736842105265</v>
      </c>
      <c r="AH50">
        <v>1.32</v>
      </c>
      <c r="AI50">
        <v>0.76</v>
      </c>
      <c r="AJ50" s="2">
        <v>0.63300000000000001</v>
      </c>
      <c r="AK50" s="6">
        <v>1.08</v>
      </c>
      <c r="AL50">
        <v>1.52</v>
      </c>
      <c r="AM50">
        <v>51.47</v>
      </c>
      <c r="AN50" s="14">
        <f t="shared" si="11"/>
        <v>9.1000707213578488E-2</v>
      </c>
      <c r="AO50" t="s">
        <v>220</v>
      </c>
      <c r="AP50" t="s">
        <v>288</v>
      </c>
    </row>
    <row r="51" spans="1:42" x14ac:dyDescent="0.2">
      <c r="A51" s="10" t="s">
        <v>85</v>
      </c>
      <c r="B51" s="10">
        <v>28</v>
      </c>
      <c r="C51" s="10" t="s">
        <v>82</v>
      </c>
      <c r="D51" s="1">
        <v>1.43</v>
      </c>
      <c r="E51" s="1">
        <v>6.4591836734693882</v>
      </c>
      <c r="F51" s="1">
        <v>565.6</v>
      </c>
      <c r="G51" s="1">
        <v>6.97</v>
      </c>
      <c r="H51" s="1">
        <v>351.5</v>
      </c>
      <c r="I51" t="s">
        <v>24</v>
      </c>
      <c r="J51" s="10" t="s">
        <v>25</v>
      </c>
      <c r="K51" s="10" t="s">
        <v>26</v>
      </c>
      <c r="L51" s="10">
        <v>9.6</v>
      </c>
      <c r="M51" s="6">
        <v>0.02</v>
      </c>
      <c r="N51" s="2">
        <f t="shared" si="4"/>
        <v>1.3986013986013988E-2</v>
      </c>
      <c r="O51">
        <v>0</v>
      </c>
      <c r="P51" s="2">
        <f t="shared" si="5"/>
        <v>0</v>
      </c>
      <c r="Q51" s="5">
        <v>0.63</v>
      </c>
      <c r="R51">
        <v>50.74</v>
      </c>
      <c r="S51" s="2">
        <v>0.75700000000000001</v>
      </c>
      <c r="T51" s="1">
        <f t="shared" si="8"/>
        <v>38.410180000000004</v>
      </c>
      <c r="U51" s="2">
        <f t="shared" si="6"/>
        <v>0.10927504978662875</v>
      </c>
      <c r="V51" s="1">
        <f>703.29/37.9</f>
        <v>18.556464379947229</v>
      </c>
      <c r="W51">
        <v>0.21</v>
      </c>
      <c r="X51">
        <v>0.18</v>
      </c>
      <c r="Y51">
        <v>6.37</v>
      </c>
      <c r="Z51" s="2">
        <f t="shared" si="7"/>
        <v>0.16584145140689263</v>
      </c>
      <c r="AA51" s="6">
        <v>0.94</v>
      </c>
      <c r="AB51" s="2">
        <f t="shared" si="9"/>
        <v>0.13486370157819225</v>
      </c>
      <c r="AC51" s="2">
        <v>0.52900000000000003</v>
      </c>
      <c r="AD51">
        <v>0.63</v>
      </c>
      <c r="AE51" s="6">
        <v>1.04</v>
      </c>
      <c r="AF51" s="2">
        <f t="shared" si="10"/>
        <v>0.16101105845181674</v>
      </c>
      <c r="AG51" s="9">
        <f>1.04/1.46</f>
        <v>0.71232876712328774</v>
      </c>
      <c r="AH51">
        <v>1.57</v>
      </c>
      <c r="AI51">
        <v>0.59</v>
      </c>
      <c r="AJ51" s="2">
        <v>0.61499999999999999</v>
      </c>
      <c r="AK51" s="6">
        <v>0.84</v>
      </c>
      <c r="AL51">
        <v>2.82</v>
      </c>
      <c r="AM51">
        <v>59.83</v>
      </c>
      <c r="AN51" s="14">
        <f t="shared" si="11"/>
        <v>0.10578147100424327</v>
      </c>
      <c r="AO51" t="s">
        <v>221</v>
      </c>
      <c r="AP51" t="s">
        <v>288</v>
      </c>
    </row>
    <row r="52" spans="1:42" x14ac:dyDescent="0.2">
      <c r="A52" s="10" t="s">
        <v>86</v>
      </c>
      <c r="B52" s="10">
        <v>20</v>
      </c>
      <c r="C52" s="10" t="s">
        <v>82</v>
      </c>
      <c r="D52" s="1">
        <v>1.43</v>
      </c>
      <c r="E52" s="1">
        <v>6.4591836734693882</v>
      </c>
      <c r="F52" s="1">
        <v>565.6</v>
      </c>
      <c r="G52" s="1">
        <v>6.97</v>
      </c>
      <c r="H52" s="1">
        <v>351.5</v>
      </c>
      <c r="I52" t="s">
        <v>24</v>
      </c>
      <c r="J52" t="s">
        <v>25</v>
      </c>
      <c r="K52" t="s">
        <v>26</v>
      </c>
      <c r="L52" s="10">
        <v>16.100000000000001</v>
      </c>
      <c r="M52" s="6">
        <v>0.04</v>
      </c>
      <c r="N52" s="2">
        <f t="shared" si="4"/>
        <v>2.7972027972027975E-2</v>
      </c>
      <c r="O52">
        <v>0</v>
      </c>
      <c r="P52" s="2">
        <f t="shared" si="5"/>
        <v>0</v>
      </c>
      <c r="Q52" s="5">
        <v>0.56000000000000005</v>
      </c>
      <c r="R52">
        <v>47.17</v>
      </c>
      <c r="S52" s="3">
        <v>0.87</v>
      </c>
      <c r="T52" s="1">
        <f t="shared" si="8"/>
        <v>41.0379</v>
      </c>
      <c r="U52" s="2">
        <f t="shared" si="6"/>
        <v>0.11675078236130867</v>
      </c>
      <c r="V52" s="1">
        <f>727.2/41.03</f>
        <v>17.723616865708021</v>
      </c>
      <c r="W52">
        <v>0</v>
      </c>
      <c r="X52">
        <v>0.06</v>
      </c>
      <c r="Y52">
        <v>3.91</v>
      </c>
      <c r="Z52" s="2">
        <f t="shared" si="7"/>
        <v>9.5277779808421004E-2</v>
      </c>
      <c r="AA52" s="6">
        <v>0.81</v>
      </c>
      <c r="AB52" s="2">
        <f t="shared" si="9"/>
        <v>0.11621233859397419</v>
      </c>
      <c r="AC52" s="2">
        <v>0.48099999999999998</v>
      </c>
      <c r="AD52">
        <v>0.93</v>
      </c>
      <c r="AE52" s="6">
        <v>1.74</v>
      </c>
      <c r="AF52" s="2">
        <f t="shared" si="10"/>
        <v>0.26938388625592413</v>
      </c>
      <c r="AG52" s="9">
        <f>1.74/3.04</f>
        <v>0.57236842105263153</v>
      </c>
      <c r="AH52">
        <v>1.61</v>
      </c>
      <c r="AI52">
        <v>0.5</v>
      </c>
      <c r="AJ52" s="2">
        <v>0.44400000000000001</v>
      </c>
      <c r="AK52" s="6">
        <v>0.81</v>
      </c>
      <c r="AL52">
        <v>2.92</v>
      </c>
      <c r="AM52">
        <v>59.59</v>
      </c>
      <c r="AN52" s="14">
        <f t="shared" si="11"/>
        <v>0.10535714285714286</v>
      </c>
      <c r="AO52" t="s">
        <v>222</v>
      </c>
      <c r="AP52" t="s">
        <v>288</v>
      </c>
    </row>
    <row r="53" spans="1:42" x14ac:dyDescent="0.2">
      <c r="A53" s="10" t="s">
        <v>87</v>
      </c>
      <c r="B53" s="10">
        <v>27</v>
      </c>
      <c r="C53" s="10" t="s">
        <v>88</v>
      </c>
      <c r="D53" s="1">
        <v>1.21</v>
      </c>
      <c r="E53" s="1">
        <v>17.868421052631579</v>
      </c>
      <c r="F53" s="1">
        <v>629.6</v>
      </c>
      <c r="G53" s="1">
        <v>7.58</v>
      </c>
      <c r="H53" s="1">
        <v>426.3</v>
      </c>
      <c r="I53" t="s">
        <v>24</v>
      </c>
      <c r="J53" t="s">
        <v>25</v>
      </c>
      <c r="K53" t="s">
        <v>26</v>
      </c>
      <c r="L53" s="10">
        <v>26</v>
      </c>
      <c r="M53" s="6">
        <v>0.05</v>
      </c>
      <c r="N53" s="2">
        <f t="shared" si="4"/>
        <v>4.1322314049586778E-2</v>
      </c>
      <c r="O53">
        <v>0</v>
      </c>
      <c r="P53" s="2">
        <f t="shared" si="5"/>
        <v>0</v>
      </c>
      <c r="Q53" s="5">
        <v>0.69</v>
      </c>
      <c r="R53">
        <v>48.38</v>
      </c>
      <c r="S53" s="2">
        <v>0.873</v>
      </c>
      <c r="T53" s="1">
        <f t="shared" si="8"/>
        <v>42.23574</v>
      </c>
      <c r="U53" s="2">
        <f t="shared" si="6"/>
        <v>9.907515833919775E-2</v>
      </c>
      <c r="V53" s="1">
        <f>719.16/42.24</f>
        <v>17.02556818181818</v>
      </c>
      <c r="W53">
        <v>0.08</v>
      </c>
      <c r="X53">
        <v>0.1</v>
      </c>
      <c r="Y53">
        <v>3.76</v>
      </c>
      <c r="Z53" s="2">
        <f t="shared" si="7"/>
        <v>8.9024129800969506E-2</v>
      </c>
      <c r="AA53" s="6">
        <v>0.31</v>
      </c>
      <c r="AB53" s="2">
        <f t="shared" si="9"/>
        <v>4.0897097625329816E-2</v>
      </c>
      <c r="AC53" s="2">
        <v>0.47099999999999997</v>
      </c>
      <c r="AD53">
        <v>1.5</v>
      </c>
      <c r="AE53" s="6">
        <v>1.5</v>
      </c>
      <c r="AF53" s="2">
        <f t="shared" si="10"/>
        <v>8.3946980854197356E-2</v>
      </c>
      <c r="AG53" s="9">
        <f>1.5/2.61</f>
        <v>0.57471264367816099</v>
      </c>
      <c r="AH53">
        <v>0.77</v>
      </c>
      <c r="AI53">
        <v>0.73</v>
      </c>
      <c r="AJ53" s="2">
        <v>0.432</v>
      </c>
      <c r="AK53" s="6">
        <v>1.08</v>
      </c>
      <c r="AL53">
        <v>1.27</v>
      </c>
      <c r="AM53">
        <v>57.33</v>
      </c>
      <c r="AN53" s="14">
        <f t="shared" si="11"/>
        <v>9.1057814485387537E-2</v>
      </c>
      <c r="AO53" t="s">
        <v>223</v>
      </c>
      <c r="AP53" t="s">
        <v>289</v>
      </c>
    </row>
    <row r="54" spans="1:42" x14ac:dyDescent="0.2">
      <c r="A54" s="10" t="s">
        <v>89</v>
      </c>
      <c r="B54" s="10">
        <v>26</v>
      </c>
      <c r="C54" s="10" t="s">
        <v>88</v>
      </c>
      <c r="D54" s="1">
        <v>1.21</v>
      </c>
      <c r="E54" s="1">
        <v>17.868421052631579</v>
      </c>
      <c r="F54" s="1">
        <v>629.6</v>
      </c>
      <c r="G54" s="1">
        <v>7.58</v>
      </c>
      <c r="H54" s="1">
        <v>426.3</v>
      </c>
      <c r="I54" t="s">
        <v>24</v>
      </c>
      <c r="J54" t="s">
        <v>25</v>
      </c>
      <c r="K54" t="s">
        <v>26</v>
      </c>
      <c r="L54" s="10">
        <v>24.6</v>
      </c>
      <c r="M54" s="6">
        <v>0.02</v>
      </c>
      <c r="N54" s="2">
        <f t="shared" si="4"/>
        <v>1.6528925619834711E-2</v>
      </c>
      <c r="O54">
        <v>0</v>
      </c>
      <c r="P54" s="2">
        <f t="shared" si="5"/>
        <v>0</v>
      </c>
      <c r="Q54" s="5">
        <v>0.12</v>
      </c>
      <c r="R54">
        <v>48.28</v>
      </c>
      <c r="S54" s="2">
        <v>0.91500000000000004</v>
      </c>
      <c r="T54" s="1">
        <f t="shared" si="8"/>
        <v>44.176200000000001</v>
      </c>
      <c r="U54" s="2">
        <f t="shared" si="6"/>
        <v>0.10362702322308234</v>
      </c>
      <c r="V54" s="1">
        <f>784.14/44.15</f>
        <v>17.760815402038507</v>
      </c>
      <c r="W54">
        <v>0</v>
      </c>
      <c r="X54">
        <v>0.02</v>
      </c>
      <c r="Y54">
        <v>5.0199999999999996</v>
      </c>
      <c r="Z54" s="2">
        <f t="shared" si="7"/>
        <v>0.11363584916765135</v>
      </c>
      <c r="AA54" s="6">
        <v>0.45</v>
      </c>
      <c r="AB54" s="2">
        <f t="shared" si="9"/>
        <v>5.9366754617414245E-2</v>
      </c>
      <c r="AC54" s="3">
        <v>0.55000000000000004</v>
      </c>
      <c r="AD54">
        <v>1.17</v>
      </c>
      <c r="AE54" s="6">
        <v>1.21</v>
      </c>
      <c r="AF54" s="2">
        <f t="shared" si="10"/>
        <v>6.7717231222385862E-2</v>
      </c>
      <c r="AG54" s="9">
        <f>1.21/2.02</f>
        <v>0.59900990099009899</v>
      </c>
      <c r="AH54">
        <v>1.0900000000000001</v>
      </c>
      <c r="AI54">
        <v>1.1299999999999999</v>
      </c>
      <c r="AJ54" s="3">
        <v>0.56000000000000005</v>
      </c>
      <c r="AK54" s="6">
        <v>0.85</v>
      </c>
      <c r="AL54">
        <v>0.36</v>
      </c>
      <c r="AM54">
        <v>56.01</v>
      </c>
      <c r="AN54" s="14">
        <f t="shared" si="11"/>
        <v>8.8961245235069875E-2</v>
      </c>
      <c r="AO54" t="s">
        <v>224</v>
      </c>
      <c r="AP54" t="s">
        <v>289</v>
      </c>
    </row>
    <row r="55" spans="1:42" x14ac:dyDescent="0.2">
      <c r="A55" s="10" t="s">
        <v>90</v>
      </c>
      <c r="B55" s="10">
        <v>24</v>
      </c>
      <c r="C55" s="10" t="s">
        <v>88</v>
      </c>
      <c r="D55" s="1">
        <v>1.21</v>
      </c>
      <c r="E55" s="1">
        <v>17.868421052631579</v>
      </c>
      <c r="F55" s="1">
        <v>629.6</v>
      </c>
      <c r="G55" s="1">
        <v>7.58</v>
      </c>
      <c r="H55" s="1">
        <v>426.3</v>
      </c>
      <c r="I55" t="s">
        <v>24</v>
      </c>
      <c r="J55" t="s">
        <v>25</v>
      </c>
      <c r="K55" t="s">
        <v>26</v>
      </c>
      <c r="L55" s="10">
        <v>22.7</v>
      </c>
      <c r="M55" s="6">
        <v>0.2</v>
      </c>
      <c r="N55" s="2">
        <f t="shared" si="4"/>
        <v>0.16528925619834711</v>
      </c>
      <c r="O55">
        <v>0.08</v>
      </c>
      <c r="P55" s="2">
        <f t="shared" si="5"/>
        <v>6.6115702479338845E-2</v>
      </c>
      <c r="Q55" s="5">
        <v>1.63</v>
      </c>
      <c r="R55">
        <v>45.07</v>
      </c>
      <c r="S55" s="2">
        <v>0.90100000000000002</v>
      </c>
      <c r="T55" s="1">
        <f t="shared" si="8"/>
        <v>40.608069999999998</v>
      </c>
      <c r="U55" s="2">
        <f t="shared" si="6"/>
        <v>9.5257025568848228E-2</v>
      </c>
      <c r="V55" s="1">
        <f>578.9/40.62</f>
        <v>14.251600196947317</v>
      </c>
      <c r="W55">
        <v>0.13</v>
      </c>
      <c r="X55">
        <v>0.06</v>
      </c>
      <c r="Y55">
        <v>5.55</v>
      </c>
      <c r="Z55" s="2">
        <f t="shared" si="7"/>
        <v>0.13667234123660643</v>
      </c>
      <c r="AA55" s="6">
        <v>0.7</v>
      </c>
      <c r="AB55" s="2">
        <f t="shared" si="9"/>
        <v>9.2348284960422161E-2</v>
      </c>
      <c r="AC55" s="2">
        <v>0.45700000000000002</v>
      </c>
      <c r="AD55">
        <v>2.33</v>
      </c>
      <c r="AE55" s="6">
        <v>0.79</v>
      </c>
      <c r="AF55" s="2">
        <f t="shared" si="10"/>
        <v>4.4212076583210608E-2</v>
      </c>
      <c r="AG55" s="9">
        <f>0.79/1.37</f>
        <v>0.57664233576642332</v>
      </c>
      <c r="AH55">
        <v>0.97</v>
      </c>
      <c r="AI55">
        <v>0.26</v>
      </c>
      <c r="AJ55" s="2">
        <v>0.23100000000000001</v>
      </c>
      <c r="AK55" s="6">
        <v>0.48</v>
      </c>
      <c r="AL55">
        <v>5.59</v>
      </c>
      <c r="AM55">
        <v>53.88</v>
      </c>
      <c r="AN55" s="14">
        <f t="shared" si="11"/>
        <v>8.5578144853875479E-2</v>
      </c>
      <c r="AO55" t="s">
        <v>225</v>
      </c>
      <c r="AP55" t="s">
        <v>289</v>
      </c>
    </row>
    <row r="56" spans="1:42" x14ac:dyDescent="0.2">
      <c r="A56" s="10" t="s">
        <v>91</v>
      </c>
      <c r="B56" s="10">
        <v>28</v>
      </c>
      <c r="C56" s="10" t="s">
        <v>88</v>
      </c>
      <c r="D56" s="1">
        <v>1.21</v>
      </c>
      <c r="E56" s="1">
        <v>17.868421052631579</v>
      </c>
      <c r="F56" s="1">
        <v>629.6</v>
      </c>
      <c r="G56" s="1">
        <v>7.58</v>
      </c>
      <c r="H56" s="1">
        <v>426.3</v>
      </c>
      <c r="I56" t="s">
        <v>24</v>
      </c>
      <c r="J56" t="s">
        <v>25</v>
      </c>
      <c r="K56" t="s">
        <v>26</v>
      </c>
      <c r="L56" s="10">
        <v>22.4</v>
      </c>
      <c r="M56" s="6">
        <v>0.13</v>
      </c>
      <c r="N56" s="2">
        <f t="shared" si="4"/>
        <v>0.10743801652892562</v>
      </c>
      <c r="O56">
        <v>0.09</v>
      </c>
      <c r="P56" s="2">
        <f t="shared" si="5"/>
        <v>7.43801652892562E-2</v>
      </c>
      <c r="Q56" s="5">
        <v>1.7</v>
      </c>
      <c r="R56">
        <v>43.37</v>
      </c>
      <c r="S56" s="2">
        <v>0.69099999999999995</v>
      </c>
      <c r="T56" s="1">
        <f t="shared" si="8"/>
        <v>29.968669999999996</v>
      </c>
      <c r="U56" s="2">
        <f t="shared" si="6"/>
        <v>7.029948393150362E-2</v>
      </c>
      <c r="V56" s="1">
        <f>542.73/29.96</f>
        <v>18.115153538050734</v>
      </c>
      <c r="W56">
        <v>0.18</v>
      </c>
      <c r="X56">
        <v>0.21</v>
      </c>
      <c r="Y56">
        <v>4.6500000000000004</v>
      </c>
      <c r="Z56" s="2">
        <f t="shared" si="7"/>
        <v>0.15516204089137092</v>
      </c>
      <c r="AA56" s="6">
        <v>0.63</v>
      </c>
      <c r="AB56" s="2">
        <f t="shared" si="9"/>
        <v>8.3113456464379953E-2</v>
      </c>
      <c r="AC56" s="2">
        <v>0.46700000000000003</v>
      </c>
      <c r="AD56">
        <v>1.3</v>
      </c>
      <c r="AE56" s="6">
        <v>0.57999999999999996</v>
      </c>
      <c r="AF56" s="2">
        <f t="shared" si="10"/>
        <v>3.2459499263622973E-2</v>
      </c>
      <c r="AG56" s="9">
        <f>0.58/1.07</f>
        <v>0.54205607476635509</v>
      </c>
      <c r="AH56">
        <v>0.76</v>
      </c>
      <c r="AI56">
        <v>0.57999999999999996</v>
      </c>
      <c r="AJ56" s="2">
        <v>0.36099999999999999</v>
      </c>
      <c r="AK56" s="6">
        <v>0.36</v>
      </c>
      <c r="AL56">
        <v>3.62</v>
      </c>
      <c r="AM56">
        <v>51.33</v>
      </c>
      <c r="AN56" s="14">
        <f t="shared" si="11"/>
        <v>8.1527954256670893E-2</v>
      </c>
      <c r="AO56" t="s">
        <v>226</v>
      </c>
      <c r="AP56" t="s">
        <v>289</v>
      </c>
    </row>
    <row r="57" spans="1:42" x14ac:dyDescent="0.2">
      <c r="A57" s="10" t="s">
        <v>92</v>
      </c>
      <c r="B57" s="10">
        <v>33</v>
      </c>
      <c r="C57" s="10" t="s">
        <v>88</v>
      </c>
      <c r="D57" s="1">
        <v>1.21</v>
      </c>
      <c r="E57" s="1">
        <v>17.868421052631579</v>
      </c>
      <c r="F57" s="1">
        <v>629.6</v>
      </c>
      <c r="G57" s="1">
        <v>7.58</v>
      </c>
      <c r="H57" s="1">
        <v>426.3</v>
      </c>
      <c r="I57" t="s">
        <v>24</v>
      </c>
      <c r="J57" s="10" t="s">
        <v>25</v>
      </c>
      <c r="K57" s="10" t="s">
        <v>26</v>
      </c>
      <c r="L57" s="10">
        <v>7</v>
      </c>
      <c r="M57" s="6">
        <v>0.11</v>
      </c>
      <c r="N57" s="2">
        <f t="shared" si="4"/>
        <v>9.0909090909090912E-2</v>
      </c>
      <c r="O57">
        <v>0.28999999999999998</v>
      </c>
      <c r="P57" s="2">
        <f t="shared" si="5"/>
        <v>0.23966942148760328</v>
      </c>
      <c r="Q57" s="5">
        <v>1.58</v>
      </c>
      <c r="R57">
        <v>89.86</v>
      </c>
      <c r="S57" s="2">
        <v>0.90700000000000003</v>
      </c>
      <c r="T57" s="1">
        <f t="shared" si="8"/>
        <v>81.503020000000006</v>
      </c>
      <c r="U57" s="2">
        <f t="shared" si="6"/>
        <v>0.19118700445695522</v>
      </c>
      <c r="V57" s="1">
        <f>1311.45/81.54</f>
        <v>16.083517292126562</v>
      </c>
      <c r="W57">
        <v>0</v>
      </c>
      <c r="X57">
        <v>0.16</v>
      </c>
      <c r="Y57">
        <v>7.6</v>
      </c>
      <c r="Z57" s="2">
        <f t="shared" si="7"/>
        <v>9.3248078414763028E-2</v>
      </c>
      <c r="AA57" s="6">
        <v>0.72</v>
      </c>
      <c r="AB57" s="2">
        <f t="shared" si="9"/>
        <v>9.498680738786279E-2</v>
      </c>
      <c r="AC57" s="2">
        <v>0.38500000000000001</v>
      </c>
      <c r="AD57">
        <v>2.58</v>
      </c>
      <c r="AE57" s="6">
        <v>0.72</v>
      </c>
      <c r="AF57" s="2">
        <f t="shared" si="10"/>
        <v>4.0294550810014727E-2</v>
      </c>
      <c r="AG57" s="9">
        <f>0.72/1.86</f>
        <v>0.38709677419354838</v>
      </c>
      <c r="AH57">
        <v>1</v>
      </c>
      <c r="AI57">
        <v>0.72</v>
      </c>
      <c r="AJ57" s="2">
        <v>0.35699999999999998</v>
      </c>
      <c r="AK57" s="6">
        <v>0.56999999999999995</v>
      </c>
      <c r="AL57">
        <v>4.7300000000000004</v>
      </c>
      <c r="AM57">
        <v>97.88</v>
      </c>
      <c r="AN57" s="14">
        <f t="shared" si="11"/>
        <v>0.15546378653113085</v>
      </c>
      <c r="AO57" t="s">
        <v>227</v>
      </c>
      <c r="AP57" t="s">
        <v>289</v>
      </c>
    </row>
    <row r="58" spans="1:42" x14ac:dyDescent="0.2">
      <c r="A58" s="10" t="s">
        <v>94</v>
      </c>
      <c r="B58" s="10">
        <v>26</v>
      </c>
      <c r="C58" s="10" t="s">
        <v>93</v>
      </c>
      <c r="D58" s="1">
        <v>1.51</v>
      </c>
      <c r="E58" s="1">
        <v>20.184210526315791</v>
      </c>
      <c r="F58" s="1">
        <v>536.6</v>
      </c>
      <c r="G58" s="1">
        <v>5.5</v>
      </c>
      <c r="H58" s="1">
        <v>312.5</v>
      </c>
      <c r="I58" t="s">
        <v>24</v>
      </c>
      <c r="J58" t="s">
        <v>25</v>
      </c>
      <c r="K58" t="s">
        <v>26</v>
      </c>
      <c r="L58" s="10">
        <v>28.8</v>
      </c>
      <c r="M58" s="6">
        <v>0.31</v>
      </c>
      <c r="N58" s="2">
        <f t="shared" si="4"/>
        <v>0.20529801324503311</v>
      </c>
      <c r="O58">
        <v>0.24</v>
      </c>
      <c r="P58" s="2">
        <f t="shared" si="5"/>
        <v>0.15894039735099338</v>
      </c>
      <c r="Q58" s="5">
        <v>3.48</v>
      </c>
      <c r="R58">
        <v>36.409999999999997</v>
      </c>
      <c r="S58" s="2">
        <v>0.74199999999999999</v>
      </c>
      <c r="T58" s="1">
        <f t="shared" si="8"/>
        <v>27.016219999999997</v>
      </c>
      <c r="U58" s="2">
        <f t="shared" si="6"/>
        <v>8.6451903999999996E-2</v>
      </c>
      <c r="V58" s="1">
        <f>459.945/27.02</f>
        <v>17.022390821613619</v>
      </c>
      <c r="W58">
        <v>0.28000000000000003</v>
      </c>
      <c r="X58">
        <v>0.22</v>
      </c>
      <c r="Y58">
        <v>3.37</v>
      </c>
      <c r="Z58" s="2">
        <f t="shared" si="7"/>
        <v>0.12473987848781215</v>
      </c>
      <c r="AA58" s="6">
        <v>2.33</v>
      </c>
      <c r="AB58" s="2">
        <f t="shared" si="9"/>
        <v>0.42363636363636364</v>
      </c>
      <c r="AC58" s="2">
        <v>0.48599999999999999</v>
      </c>
      <c r="AD58">
        <v>2.4</v>
      </c>
      <c r="AE58" s="6">
        <v>0.77</v>
      </c>
      <c r="AF58" s="2">
        <f t="shared" si="10"/>
        <v>3.814863102998696E-2</v>
      </c>
      <c r="AG58" s="9">
        <f>0.77/1.36</f>
        <v>0.56617647058823528</v>
      </c>
      <c r="AH58">
        <v>0.94</v>
      </c>
      <c r="AI58">
        <v>0.24</v>
      </c>
      <c r="AJ58" s="2">
        <v>0.159</v>
      </c>
      <c r="AK58" s="6">
        <v>0.38</v>
      </c>
      <c r="AL58">
        <v>5.32</v>
      </c>
      <c r="AM58">
        <v>49.17</v>
      </c>
      <c r="AN58" s="14">
        <f t="shared" si="11"/>
        <v>9.1632500931792774E-2</v>
      </c>
      <c r="AO58" t="s">
        <v>228</v>
      </c>
      <c r="AP58" t="s">
        <v>290</v>
      </c>
    </row>
    <row r="59" spans="1:42" x14ac:dyDescent="0.2">
      <c r="A59" s="10" t="s">
        <v>100</v>
      </c>
      <c r="B59" s="10">
        <v>29</v>
      </c>
      <c r="C59" s="10" t="s">
        <v>93</v>
      </c>
      <c r="D59" s="1">
        <v>1.51</v>
      </c>
      <c r="E59" s="1">
        <v>20.184210526315791</v>
      </c>
      <c r="F59" s="1">
        <v>536.6</v>
      </c>
      <c r="G59" s="1">
        <v>5.5</v>
      </c>
      <c r="H59" s="1">
        <v>312.5</v>
      </c>
      <c r="I59" t="s">
        <v>24</v>
      </c>
      <c r="J59" s="10" t="s">
        <v>25</v>
      </c>
      <c r="K59" s="10" t="s">
        <v>26</v>
      </c>
      <c r="L59" s="10">
        <v>23.4</v>
      </c>
      <c r="M59" s="6">
        <v>0.05</v>
      </c>
      <c r="N59" s="2">
        <f t="shared" si="4"/>
        <v>3.3112582781456956E-2</v>
      </c>
      <c r="O59">
        <v>0</v>
      </c>
      <c r="P59" s="2">
        <f t="shared" si="5"/>
        <v>0</v>
      </c>
      <c r="Q59" s="5">
        <v>0.94</v>
      </c>
      <c r="R59">
        <v>41.41</v>
      </c>
      <c r="S59" s="2">
        <v>0.76</v>
      </c>
      <c r="T59" s="1">
        <f t="shared" si="8"/>
        <v>31.471599999999999</v>
      </c>
      <c r="U59" s="2">
        <f t="shared" si="6"/>
        <v>0.10070912</v>
      </c>
      <c r="V59" s="1">
        <f>499.01/31.47</f>
        <v>15.856688910073085</v>
      </c>
      <c r="W59">
        <v>0.13</v>
      </c>
      <c r="X59">
        <v>0.13</v>
      </c>
      <c r="Y59">
        <v>3.71</v>
      </c>
      <c r="Z59" s="2">
        <f t="shared" si="7"/>
        <v>0.11788406054982906</v>
      </c>
      <c r="AA59" s="6">
        <v>0.21</v>
      </c>
      <c r="AB59" s="2">
        <f t="shared" si="9"/>
        <v>3.8181818181818178E-2</v>
      </c>
      <c r="AC59" s="2">
        <v>0.313</v>
      </c>
      <c r="AD59">
        <v>0.85</v>
      </c>
      <c r="AE59" s="6">
        <v>1.54</v>
      </c>
      <c r="AF59" s="2">
        <f t="shared" si="10"/>
        <v>7.6297262059973919E-2</v>
      </c>
      <c r="AG59" s="9">
        <f>1.54/2.82</f>
        <v>0.54609929078014185</v>
      </c>
      <c r="AH59">
        <v>1.32</v>
      </c>
      <c r="AI59">
        <v>0.81</v>
      </c>
      <c r="AJ59" s="2">
        <v>0.51400000000000001</v>
      </c>
      <c r="AK59" s="6">
        <v>0.94</v>
      </c>
      <c r="AL59">
        <v>1.1499999999999999</v>
      </c>
      <c r="AM59">
        <v>51.36</v>
      </c>
      <c r="AN59" s="14">
        <f t="shared" si="11"/>
        <v>9.5713753261274681E-2</v>
      </c>
      <c r="AO59" t="s">
        <v>229</v>
      </c>
      <c r="AP59" t="s">
        <v>290</v>
      </c>
    </row>
    <row r="60" spans="1:42" x14ac:dyDescent="0.2">
      <c r="A60" s="10" t="s">
        <v>96</v>
      </c>
      <c r="B60" s="10">
        <v>20</v>
      </c>
      <c r="C60" s="10" t="s">
        <v>93</v>
      </c>
      <c r="D60" s="1">
        <v>1.51</v>
      </c>
      <c r="E60" s="1">
        <v>20.184210526315791</v>
      </c>
      <c r="F60" s="1">
        <v>536.6</v>
      </c>
      <c r="G60" s="1">
        <v>5.5</v>
      </c>
      <c r="H60" s="1">
        <v>312.5</v>
      </c>
      <c r="I60" t="s">
        <v>24</v>
      </c>
      <c r="J60" t="s">
        <v>25</v>
      </c>
      <c r="K60" t="s">
        <v>26</v>
      </c>
      <c r="L60" s="10">
        <v>14.6</v>
      </c>
      <c r="M60" s="6">
        <v>0.03</v>
      </c>
      <c r="N60" s="2">
        <f t="shared" si="4"/>
        <v>1.9867549668874173E-2</v>
      </c>
      <c r="O60">
        <v>0</v>
      </c>
      <c r="P60" s="2">
        <f t="shared" si="5"/>
        <v>0</v>
      </c>
      <c r="Q60" s="5">
        <v>0.89</v>
      </c>
      <c r="R60">
        <v>49.51</v>
      </c>
      <c r="S60" s="2">
        <v>0.75600000000000001</v>
      </c>
      <c r="T60" s="1">
        <f t="shared" si="8"/>
        <v>37.429560000000002</v>
      </c>
      <c r="U60" s="2">
        <f t="shared" si="6"/>
        <v>0.11977459200000001</v>
      </c>
      <c r="V60" s="1">
        <f>701.36/37.42</f>
        <v>18.742918225547836</v>
      </c>
      <c r="W60">
        <v>0.14000000000000001</v>
      </c>
      <c r="X60">
        <v>0.2</v>
      </c>
      <c r="Y60">
        <v>7.31</v>
      </c>
      <c r="Z60" s="2">
        <f t="shared" si="7"/>
        <v>0.19530018520121528</v>
      </c>
      <c r="AA60" s="6">
        <v>0.14000000000000001</v>
      </c>
      <c r="AB60" s="2">
        <f t="shared" si="9"/>
        <v>2.5454545454545455E-2</v>
      </c>
      <c r="AC60" s="3">
        <v>0.2</v>
      </c>
      <c r="AD60">
        <v>0.96</v>
      </c>
      <c r="AE60" s="6">
        <v>0.96</v>
      </c>
      <c r="AF60" s="2">
        <f t="shared" si="10"/>
        <v>4.7561929595827897E-2</v>
      </c>
      <c r="AG60" s="9">
        <f>0.96/2.32</f>
        <v>0.41379310344827586</v>
      </c>
      <c r="AH60">
        <v>0.75</v>
      </c>
      <c r="AI60">
        <v>0.48</v>
      </c>
      <c r="AJ60" s="2">
        <v>0.30399999999999999</v>
      </c>
      <c r="AK60" s="6">
        <v>1.37</v>
      </c>
      <c r="AL60">
        <v>0.75</v>
      </c>
      <c r="AM60">
        <v>59.54</v>
      </c>
      <c r="AN60" s="14">
        <f t="shared" si="11"/>
        <v>0.11095788296682817</v>
      </c>
      <c r="AO60" t="s">
        <v>230</v>
      </c>
      <c r="AP60" t="s">
        <v>290</v>
      </c>
    </row>
    <row r="61" spans="1:42" x14ac:dyDescent="0.2">
      <c r="A61" s="10" t="s">
        <v>97</v>
      </c>
      <c r="B61">
        <v>27</v>
      </c>
      <c r="C61" s="10" t="s">
        <v>93</v>
      </c>
      <c r="D61" s="1">
        <v>1.51</v>
      </c>
      <c r="E61" s="1">
        <v>20.184210526315791</v>
      </c>
      <c r="F61" s="1">
        <v>536.6</v>
      </c>
      <c r="G61" s="1">
        <v>5.5</v>
      </c>
      <c r="H61" s="1">
        <v>312.5</v>
      </c>
      <c r="I61" t="s">
        <v>24</v>
      </c>
      <c r="J61" s="10" t="s">
        <v>25</v>
      </c>
      <c r="K61" s="10" t="s">
        <v>26</v>
      </c>
      <c r="L61">
        <v>17.399999999999999</v>
      </c>
      <c r="M61" s="6">
        <v>0.06</v>
      </c>
      <c r="N61" s="2">
        <f t="shared" si="4"/>
        <v>3.9735099337748346E-2</v>
      </c>
      <c r="O61">
        <v>0</v>
      </c>
      <c r="P61" s="2">
        <f t="shared" si="5"/>
        <v>0</v>
      </c>
      <c r="Q61" s="5">
        <v>1.1499999999999999</v>
      </c>
      <c r="R61">
        <v>43.27</v>
      </c>
      <c r="S61" s="2">
        <v>0.80200000000000005</v>
      </c>
      <c r="T61" s="1">
        <f t="shared" si="8"/>
        <v>34.702540000000006</v>
      </c>
      <c r="U61" s="2">
        <f t="shared" si="6"/>
        <v>0.11104812800000002</v>
      </c>
      <c r="V61" s="1">
        <f>562.33/34.7</f>
        <v>16.205475504322767</v>
      </c>
      <c r="W61">
        <v>0</v>
      </c>
      <c r="X61">
        <v>0.11</v>
      </c>
      <c r="Y61">
        <v>5.12</v>
      </c>
      <c r="Z61" s="2">
        <f t="shared" si="7"/>
        <v>0.14753963254562921</v>
      </c>
      <c r="AA61" s="6">
        <v>0.4</v>
      </c>
      <c r="AB61" s="2">
        <f t="shared" si="9"/>
        <v>7.2727272727272738E-2</v>
      </c>
      <c r="AC61" s="2">
        <v>0.36799999999999999</v>
      </c>
      <c r="AD61">
        <v>1.44</v>
      </c>
      <c r="AE61" s="6">
        <v>1.67</v>
      </c>
      <c r="AF61" s="2">
        <f t="shared" si="10"/>
        <v>8.273794002607561E-2</v>
      </c>
      <c r="AG61" s="9">
        <f>1.67/2.7</f>
        <v>0.61851851851851847</v>
      </c>
      <c r="AH61">
        <v>1.27</v>
      </c>
      <c r="AI61">
        <v>0.23</v>
      </c>
      <c r="AJ61" s="2">
        <v>0.23499999999999999</v>
      </c>
      <c r="AK61" s="6">
        <v>1.04</v>
      </c>
      <c r="AL61">
        <v>3.22</v>
      </c>
      <c r="AM61">
        <v>53.92</v>
      </c>
      <c r="AN61" s="14">
        <f t="shared" si="11"/>
        <v>0.10048453224002982</v>
      </c>
      <c r="AO61" t="s">
        <v>231</v>
      </c>
      <c r="AP61" t="s">
        <v>290</v>
      </c>
    </row>
    <row r="62" spans="1:42" x14ac:dyDescent="0.2">
      <c r="A62" s="10" t="s">
        <v>98</v>
      </c>
      <c r="B62">
        <v>20</v>
      </c>
      <c r="C62" s="10" t="s">
        <v>93</v>
      </c>
      <c r="D62" s="1">
        <v>1.51</v>
      </c>
      <c r="E62" s="1">
        <v>20.184210526315791</v>
      </c>
      <c r="F62" s="1">
        <v>536.6</v>
      </c>
      <c r="G62" s="1">
        <v>5.5</v>
      </c>
      <c r="H62" s="1">
        <v>312.5</v>
      </c>
      <c r="I62" t="s">
        <v>24</v>
      </c>
      <c r="J62" t="s">
        <v>25</v>
      </c>
      <c r="K62" t="s">
        <v>26</v>
      </c>
      <c r="L62">
        <v>5.6</v>
      </c>
      <c r="M62" s="6">
        <v>0.14000000000000001</v>
      </c>
      <c r="N62" s="2">
        <f t="shared" si="4"/>
        <v>9.2715231788079472E-2</v>
      </c>
      <c r="O62">
        <v>0.18</v>
      </c>
      <c r="P62" s="2">
        <f t="shared" si="5"/>
        <v>0.11920529801324503</v>
      </c>
      <c r="Q62" s="5">
        <v>1.78</v>
      </c>
      <c r="R62">
        <v>36.39</v>
      </c>
      <c r="S62" s="2">
        <v>0.72199999999999998</v>
      </c>
      <c r="T62" s="1">
        <f t="shared" si="8"/>
        <v>26.273579999999999</v>
      </c>
      <c r="U62" s="2">
        <f t="shared" si="6"/>
        <v>8.4075455999999993E-2</v>
      </c>
      <c r="V62" s="1">
        <f>431.89/26.27</f>
        <v>16.440426341834794</v>
      </c>
      <c r="W62">
        <v>0.18</v>
      </c>
      <c r="X62">
        <v>0.11</v>
      </c>
      <c r="Y62">
        <v>3.73</v>
      </c>
      <c r="Z62" s="2">
        <f t="shared" si="7"/>
        <v>0.14196771052898008</v>
      </c>
      <c r="AA62" s="6">
        <v>0.36</v>
      </c>
      <c r="AB62" s="2">
        <f t="shared" si="9"/>
        <v>6.5454545454545446E-2</v>
      </c>
      <c r="AC62" s="3">
        <v>0.5</v>
      </c>
      <c r="AD62">
        <v>0.89</v>
      </c>
      <c r="AE62" s="6">
        <v>2.13</v>
      </c>
      <c r="AF62" s="2">
        <f t="shared" si="10"/>
        <v>0.10552803129074315</v>
      </c>
      <c r="AG62" s="9">
        <f>2.13/3.02</f>
        <v>0.70529801324503305</v>
      </c>
      <c r="AH62">
        <v>1.07</v>
      </c>
      <c r="AI62">
        <v>0.36</v>
      </c>
      <c r="AJ62" s="2">
        <v>0.13300000000000001</v>
      </c>
      <c r="AK62" s="6">
        <v>0</v>
      </c>
      <c r="AL62">
        <v>2.31</v>
      </c>
      <c r="AM62">
        <v>49.53</v>
      </c>
      <c r="AN62" s="14">
        <f t="shared" si="11"/>
        <v>9.2303391725680209E-2</v>
      </c>
      <c r="AO62" t="s">
        <v>300</v>
      </c>
      <c r="AP62" t="s">
        <v>290</v>
      </c>
    </row>
    <row r="63" spans="1:42" x14ac:dyDescent="0.2">
      <c r="A63" s="10" t="s">
        <v>99</v>
      </c>
      <c r="B63">
        <v>24</v>
      </c>
      <c r="C63" s="10" t="s">
        <v>93</v>
      </c>
      <c r="D63" s="1">
        <v>1.51</v>
      </c>
      <c r="E63" s="1">
        <v>20.184210526315791</v>
      </c>
      <c r="F63" s="1">
        <v>536.6</v>
      </c>
      <c r="G63" s="1">
        <v>5.5</v>
      </c>
      <c r="H63" s="1">
        <v>312.5</v>
      </c>
      <c r="I63" t="s">
        <v>24</v>
      </c>
      <c r="J63" t="s">
        <v>25</v>
      </c>
      <c r="K63" t="s">
        <v>26</v>
      </c>
      <c r="L63">
        <v>5</v>
      </c>
      <c r="M63" s="6">
        <v>0.08</v>
      </c>
      <c r="N63" s="2">
        <f t="shared" si="4"/>
        <v>5.2980132450331126E-2</v>
      </c>
      <c r="O63">
        <v>0</v>
      </c>
      <c r="P63" s="2">
        <f t="shared" si="5"/>
        <v>0</v>
      </c>
      <c r="Q63" s="5">
        <v>1.39</v>
      </c>
      <c r="R63">
        <v>40.619999999999997</v>
      </c>
      <c r="S63" s="2">
        <v>0.85299999999999998</v>
      </c>
      <c r="T63" s="1">
        <f t="shared" si="8"/>
        <v>34.648859999999999</v>
      </c>
      <c r="U63" s="2">
        <f t="shared" si="6"/>
        <v>0.110876352</v>
      </c>
      <c r="V63" s="1">
        <f>579.23/34.65</f>
        <v>16.716594516594519</v>
      </c>
      <c r="W63">
        <v>0</v>
      </c>
      <c r="X63">
        <v>0</v>
      </c>
      <c r="Y63">
        <v>3.78</v>
      </c>
      <c r="Z63" s="2">
        <f t="shared" si="7"/>
        <v>0.10909449834713177</v>
      </c>
      <c r="AA63" s="6">
        <v>0.4</v>
      </c>
      <c r="AB63" s="2">
        <f t="shared" si="9"/>
        <v>7.2727272727272738E-2</v>
      </c>
      <c r="AC63" s="3">
        <v>0.4</v>
      </c>
      <c r="AD63">
        <v>0.4</v>
      </c>
      <c r="AE63" s="6">
        <v>1.59</v>
      </c>
      <c r="AF63" s="2">
        <f t="shared" si="10"/>
        <v>7.8774445893089962E-2</v>
      </c>
      <c r="AG63" s="9">
        <f>1.59/3.19</f>
        <v>0.49843260188087779</v>
      </c>
      <c r="AH63">
        <v>0.8</v>
      </c>
      <c r="AI63">
        <v>1</v>
      </c>
      <c r="AJ63" s="3">
        <v>0.5</v>
      </c>
      <c r="AK63" s="6">
        <v>2.19</v>
      </c>
      <c r="AL63">
        <v>1.39</v>
      </c>
      <c r="AM63">
        <v>52.37</v>
      </c>
      <c r="AN63" s="14">
        <f t="shared" si="11"/>
        <v>9.7595974655236672E-2</v>
      </c>
      <c r="AO63" t="s">
        <v>232</v>
      </c>
      <c r="AP63" t="s">
        <v>290</v>
      </c>
    </row>
    <row r="64" spans="1:42" x14ac:dyDescent="0.2">
      <c r="A64" s="10" t="s">
        <v>95</v>
      </c>
      <c r="B64">
        <v>29</v>
      </c>
      <c r="C64" s="10" t="s">
        <v>93</v>
      </c>
      <c r="D64" s="1">
        <v>1.51</v>
      </c>
      <c r="E64" s="1">
        <v>20.184210526315791</v>
      </c>
      <c r="F64" s="1">
        <v>536.6</v>
      </c>
      <c r="G64" s="1">
        <v>5.5</v>
      </c>
      <c r="H64" s="1">
        <v>312.5</v>
      </c>
      <c r="I64" t="s">
        <v>24</v>
      </c>
      <c r="J64" t="s">
        <v>25</v>
      </c>
      <c r="K64" t="s">
        <v>26</v>
      </c>
      <c r="L64">
        <v>25.3</v>
      </c>
      <c r="M64" s="6">
        <v>0.04</v>
      </c>
      <c r="N64" s="2">
        <f t="shared" si="4"/>
        <v>2.6490066225165563E-2</v>
      </c>
      <c r="O64">
        <v>0</v>
      </c>
      <c r="P64" s="2">
        <f t="shared" si="5"/>
        <v>0</v>
      </c>
      <c r="Q64" s="5">
        <v>1.03</v>
      </c>
      <c r="R64">
        <v>44.37</v>
      </c>
      <c r="S64" s="2">
        <v>0.753</v>
      </c>
      <c r="T64" s="1">
        <f t="shared" si="8"/>
        <v>33.410609999999998</v>
      </c>
      <c r="U64" s="2">
        <f t="shared" si="6"/>
        <v>0.10691395199999999</v>
      </c>
      <c r="V64" s="1">
        <f>582.15/33.4</f>
        <v>17.429640718562876</v>
      </c>
      <c r="W64">
        <v>0.04</v>
      </c>
      <c r="X64">
        <v>0.06</v>
      </c>
      <c r="Y64">
        <v>3.84</v>
      </c>
      <c r="Z64" s="2">
        <f t="shared" si="7"/>
        <v>0.11493354955207342</v>
      </c>
      <c r="AA64" s="6">
        <v>0.28000000000000003</v>
      </c>
      <c r="AB64" s="2">
        <f t="shared" si="9"/>
        <v>5.0909090909090911E-2</v>
      </c>
      <c r="AC64" s="2">
        <v>0.53800000000000003</v>
      </c>
      <c r="AD64">
        <v>0.51</v>
      </c>
      <c r="AE64" s="6">
        <v>0.67</v>
      </c>
      <c r="AF64" s="2">
        <f t="shared" si="10"/>
        <v>3.3194263363754889E-2</v>
      </c>
      <c r="AG64" s="9">
        <f>0.67/1.39</f>
        <v>0.48201438848920869</v>
      </c>
      <c r="AH64">
        <v>1.5</v>
      </c>
      <c r="AI64">
        <v>1.62</v>
      </c>
      <c r="AJ64" s="2">
        <v>0.51300000000000001</v>
      </c>
      <c r="AK64" s="6">
        <v>1.66</v>
      </c>
      <c r="AL64">
        <v>1.03</v>
      </c>
      <c r="AM64">
        <v>55.65</v>
      </c>
      <c r="AN64" s="14">
        <f t="shared" si="11"/>
        <v>0.10370853522176668</v>
      </c>
      <c r="AO64" t="s">
        <v>233</v>
      </c>
      <c r="AP64" t="s">
        <v>290</v>
      </c>
    </row>
    <row r="65" spans="1:42" x14ac:dyDescent="0.2">
      <c r="A65" s="10" t="s">
        <v>103</v>
      </c>
      <c r="B65">
        <v>21</v>
      </c>
      <c r="C65" s="10" t="s">
        <v>104</v>
      </c>
      <c r="D65" s="1">
        <v>1.06</v>
      </c>
      <c r="E65" s="1">
        <f>732/38</f>
        <v>19.263157894736842</v>
      </c>
      <c r="F65" s="1">
        <v>510.7</v>
      </c>
      <c r="G65" s="1">
        <v>7.45</v>
      </c>
      <c r="H65" s="1">
        <v>300.10000000000002</v>
      </c>
      <c r="I65" t="s">
        <v>24</v>
      </c>
      <c r="J65" t="s">
        <v>25</v>
      </c>
      <c r="K65" t="s">
        <v>26</v>
      </c>
      <c r="L65">
        <v>8.5</v>
      </c>
      <c r="M65" s="6">
        <v>0.21</v>
      </c>
      <c r="N65" s="2">
        <f t="shared" si="4"/>
        <v>0.1981132075471698</v>
      </c>
      <c r="O65">
        <v>0.23</v>
      </c>
      <c r="P65" s="2">
        <f t="shared" si="5"/>
        <v>0.21698113207547171</v>
      </c>
      <c r="Q65" s="5">
        <v>3.14</v>
      </c>
      <c r="R65">
        <v>33.840000000000003</v>
      </c>
      <c r="S65" s="2">
        <v>0.81499999999999995</v>
      </c>
      <c r="T65" s="1">
        <f t="shared" si="8"/>
        <v>27.579599999999999</v>
      </c>
      <c r="U65" s="2">
        <f t="shared" si="6"/>
        <v>9.1901366211262908E-2</v>
      </c>
      <c r="V65" s="1">
        <f>486.51/27.56</f>
        <v>17.652757619738754</v>
      </c>
      <c r="W65">
        <v>0.35</v>
      </c>
      <c r="X65">
        <v>0.2</v>
      </c>
      <c r="Y65">
        <v>5.58</v>
      </c>
      <c r="Z65" s="2">
        <f t="shared" si="7"/>
        <v>0.20232345646782404</v>
      </c>
      <c r="AA65" s="6">
        <v>1.05</v>
      </c>
      <c r="AB65" s="2">
        <f t="shared" si="9"/>
        <v>0.14093959731543623</v>
      </c>
      <c r="AC65" s="3">
        <v>0.45</v>
      </c>
      <c r="AD65">
        <v>2.67</v>
      </c>
      <c r="AE65" s="6">
        <v>0.57999999999999996</v>
      </c>
      <c r="AF65" s="2">
        <f t="shared" si="10"/>
        <v>3.0109289617486337E-2</v>
      </c>
      <c r="AG65" s="9">
        <f>0.68/1.28</f>
        <v>0.53125</v>
      </c>
      <c r="AH65">
        <v>1.05</v>
      </c>
      <c r="AI65">
        <v>1.74</v>
      </c>
      <c r="AJ65" s="2">
        <v>0.65200000000000002</v>
      </c>
      <c r="AK65" s="6">
        <v>0.7</v>
      </c>
      <c r="AL65">
        <v>2.56</v>
      </c>
      <c r="AM65">
        <v>45.93</v>
      </c>
      <c r="AN65" s="14">
        <f t="shared" si="11"/>
        <v>8.9935382807910719E-2</v>
      </c>
      <c r="AO65" t="s">
        <v>234</v>
      </c>
      <c r="AP65" t="s">
        <v>291</v>
      </c>
    </row>
    <row r="66" spans="1:42" x14ac:dyDescent="0.2">
      <c r="A66" s="10" t="s">
        <v>105</v>
      </c>
      <c r="B66">
        <v>34</v>
      </c>
      <c r="C66" s="10" t="s">
        <v>104</v>
      </c>
      <c r="D66" s="1">
        <v>1.06</v>
      </c>
      <c r="E66" s="1">
        <f t="shared" ref="E66:E70" si="12">732/38</f>
        <v>19.263157894736842</v>
      </c>
      <c r="F66" s="1">
        <v>510.7</v>
      </c>
      <c r="G66" s="1">
        <v>7.45</v>
      </c>
      <c r="H66" s="1">
        <v>300.10000000000002</v>
      </c>
      <c r="I66" t="s">
        <v>24</v>
      </c>
      <c r="J66" t="s">
        <v>25</v>
      </c>
      <c r="K66" t="s">
        <v>26</v>
      </c>
      <c r="L66">
        <v>34</v>
      </c>
      <c r="M66" s="6">
        <v>0.03</v>
      </c>
      <c r="N66" s="2">
        <f t="shared" si="4"/>
        <v>2.8301886792452827E-2</v>
      </c>
      <c r="O66">
        <v>0</v>
      </c>
      <c r="P66" s="2">
        <f t="shared" si="5"/>
        <v>0</v>
      </c>
      <c r="Q66" s="5">
        <v>0.79</v>
      </c>
      <c r="R66">
        <v>41.78</v>
      </c>
      <c r="S66" s="2">
        <v>0.86499999999999999</v>
      </c>
      <c r="T66" s="1">
        <f t="shared" ref="T66:T97" si="13">R66*S66</f>
        <v>36.139699999999998</v>
      </c>
      <c r="U66" s="2">
        <f t="shared" si="6"/>
        <v>0.12042552482505829</v>
      </c>
      <c r="V66" s="1">
        <f>610.55/36.14</f>
        <v>16.894023242944105</v>
      </c>
      <c r="W66">
        <v>0.09</v>
      </c>
      <c r="X66">
        <v>0.05</v>
      </c>
      <c r="Y66">
        <v>4.26</v>
      </c>
      <c r="Z66" s="2">
        <f t="shared" si="7"/>
        <v>0.11787590931856103</v>
      </c>
      <c r="AA66" s="6">
        <v>0.53</v>
      </c>
      <c r="AB66" s="2">
        <f t="shared" ref="AB66:AB97" si="14">AA66/G66</f>
        <v>7.1140939597315433E-2</v>
      </c>
      <c r="AC66" s="2">
        <v>0.46200000000000002</v>
      </c>
      <c r="AD66">
        <v>0.79</v>
      </c>
      <c r="AE66" s="6">
        <v>2.35</v>
      </c>
      <c r="AF66" s="2">
        <f t="shared" ref="AF66:AF97" si="15">AE66/E66</f>
        <v>0.12199453551912569</v>
      </c>
      <c r="AG66" s="9">
        <f>2.35/3.91</f>
        <v>0.60102301790281332</v>
      </c>
      <c r="AH66">
        <v>1.41</v>
      </c>
      <c r="AI66">
        <v>0.71</v>
      </c>
      <c r="AJ66" s="2">
        <v>0.61499999999999999</v>
      </c>
      <c r="AK66" s="6">
        <v>1.41</v>
      </c>
      <c r="AL66">
        <v>0.79</v>
      </c>
      <c r="AM66">
        <v>52.92</v>
      </c>
      <c r="AN66" s="14">
        <f t="shared" ref="AN66:AN97" si="16">AM66/F66</f>
        <v>0.10362247895046016</v>
      </c>
      <c r="AO66" t="s">
        <v>235</v>
      </c>
      <c r="AP66" t="s">
        <v>291</v>
      </c>
    </row>
    <row r="67" spans="1:42" x14ac:dyDescent="0.2">
      <c r="A67" s="10" t="s">
        <v>106</v>
      </c>
      <c r="B67">
        <v>31</v>
      </c>
      <c r="C67" s="10" t="s">
        <v>104</v>
      </c>
      <c r="D67" s="1">
        <v>1.06</v>
      </c>
      <c r="E67" s="1">
        <f t="shared" si="12"/>
        <v>19.263157894736842</v>
      </c>
      <c r="F67" s="1">
        <v>510.7</v>
      </c>
      <c r="G67" s="1">
        <v>7.45</v>
      </c>
      <c r="H67" s="1">
        <v>300.10000000000002</v>
      </c>
      <c r="I67" t="s">
        <v>24</v>
      </c>
      <c r="J67" t="s">
        <v>25</v>
      </c>
      <c r="K67" t="s">
        <v>26</v>
      </c>
      <c r="L67">
        <v>28.5</v>
      </c>
      <c r="M67" s="6">
        <v>7.0000000000000007E-2</v>
      </c>
      <c r="N67" s="2">
        <f t="shared" ref="N67:N110" si="17">M67/D67</f>
        <v>6.6037735849056603E-2</v>
      </c>
      <c r="O67">
        <v>0.11</v>
      </c>
      <c r="P67" s="2">
        <f t="shared" ref="P67:P110" si="18">O67/D67</f>
        <v>0.10377358490566037</v>
      </c>
      <c r="Q67" s="5">
        <v>1.0900000000000001</v>
      </c>
      <c r="R67">
        <v>31.7</v>
      </c>
      <c r="S67" s="2">
        <v>0.80300000000000005</v>
      </c>
      <c r="T67" s="1">
        <f t="shared" si="13"/>
        <v>25.455100000000002</v>
      </c>
      <c r="U67" s="2">
        <f t="shared" ref="U67:U110" si="19">T67/H67</f>
        <v>8.482205931356214E-2</v>
      </c>
      <c r="V67" s="1">
        <f>382.92/25.45</f>
        <v>15.04597249508841</v>
      </c>
      <c r="W67">
        <v>7.0000000000000007E-2</v>
      </c>
      <c r="X67">
        <v>0.08</v>
      </c>
      <c r="Y67">
        <v>2.88</v>
      </c>
      <c r="Z67" s="2">
        <f t="shared" ref="Z67:Z110" si="20">Y67/T67</f>
        <v>0.11314039229859633</v>
      </c>
      <c r="AA67" s="6">
        <v>0.84</v>
      </c>
      <c r="AB67" s="2">
        <f t="shared" si="14"/>
        <v>0.11275167785234899</v>
      </c>
      <c r="AC67" s="2">
        <v>0.53300000000000003</v>
      </c>
      <c r="AD67">
        <v>1.47</v>
      </c>
      <c r="AE67" s="6">
        <v>0.98</v>
      </c>
      <c r="AF67" s="2">
        <f t="shared" si="15"/>
        <v>5.087431693989071E-2</v>
      </c>
      <c r="AG67" s="9">
        <f>0.98/1.68</f>
        <v>0.58333333333333337</v>
      </c>
      <c r="AH67">
        <v>1.0900000000000001</v>
      </c>
      <c r="AI67">
        <v>1.05</v>
      </c>
      <c r="AJ67" s="2">
        <v>0.40500000000000003</v>
      </c>
      <c r="AK67" s="6">
        <v>0.35</v>
      </c>
      <c r="AL67">
        <v>3.37</v>
      </c>
      <c r="AM67">
        <v>40.75</v>
      </c>
      <c r="AN67" s="14">
        <f t="shared" si="16"/>
        <v>7.9792441746622284E-2</v>
      </c>
      <c r="AO67" t="s">
        <v>237</v>
      </c>
      <c r="AP67" t="s">
        <v>291</v>
      </c>
    </row>
    <row r="68" spans="1:42" x14ac:dyDescent="0.2">
      <c r="A68" s="10" t="s">
        <v>107</v>
      </c>
      <c r="B68">
        <v>26</v>
      </c>
      <c r="C68" s="10" t="s">
        <v>104</v>
      </c>
      <c r="D68" s="1">
        <v>1.06</v>
      </c>
      <c r="E68" s="1">
        <f t="shared" si="12"/>
        <v>19.263157894736842</v>
      </c>
      <c r="F68" s="1">
        <v>510.7</v>
      </c>
      <c r="G68" s="1">
        <v>7.45</v>
      </c>
      <c r="H68" s="1">
        <v>300.10000000000002</v>
      </c>
      <c r="I68" t="s">
        <v>24</v>
      </c>
      <c r="J68" t="s">
        <v>25</v>
      </c>
      <c r="K68" t="s">
        <v>26</v>
      </c>
      <c r="L68">
        <v>14</v>
      </c>
      <c r="M68" s="6">
        <v>0.08</v>
      </c>
      <c r="N68" s="2">
        <f t="shared" si="17"/>
        <v>7.5471698113207544E-2</v>
      </c>
      <c r="O68">
        <v>7.0000000000000007E-2</v>
      </c>
      <c r="P68" s="2">
        <f t="shared" si="18"/>
        <v>6.6037735849056603E-2</v>
      </c>
      <c r="Q68" s="5">
        <v>1.1399999999999999</v>
      </c>
      <c r="R68">
        <v>34.97</v>
      </c>
      <c r="S68" s="2">
        <v>0.89200000000000002</v>
      </c>
      <c r="T68" s="1">
        <f t="shared" si="13"/>
        <v>31.193239999999999</v>
      </c>
      <c r="U68" s="2">
        <f t="shared" si="19"/>
        <v>0.10394281906031322</v>
      </c>
      <c r="V68" s="1">
        <f>499.46/31.19</f>
        <v>16.013465854440526</v>
      </c>
      <c r="W68">
        <v>0</v>
      </c>
      <c r="X68">
        <v>0.04</v>
      </c>
      <c r="Y68">
        <v>2.4300000000000002</v>
      </c>
      <c r="Z68" s="2">
        <f t="shared" si="20"/>
        <v>7.7901494041657748E-2</v>
      </c>
      <c r="AA68" s="6">
        <v>1</v>
      </c>
      <c r="AB68" s="2">
        <f t="shared" si="14"/>
        <v>0.13422818791946309</v>
      </c>
      <c r="AC68" s="9">
        <v>0.58299999999999996</v>
      </c>
      <c r="AD68">
        <v>0.43</v>
      </c>
      <c r="AE68" s="6">
        <v>0.56999999999999995</v>
      </c>
      <c r="AF68" s="2">
        <f t="shared" si="15"/>
        <v>2.9590163934426227E-2</v>
      </c>
      <c r="AG68" s="8">
        <f>0.57/1.14</f>
        <v>0.5</v>
      </c>
      <c r="AH68">
        <v>0.56999999999999995</v>
      </c>
      <c r="AI68">
        <v>0.43</v>
      </c>
      <c r="AJ68" s="2">
        <v>0.42899999999999999</v>
      </c>
      <c r="AK68" s="6">
        <v>1.5</v>
      </c>
      <c r="AL68">
        <v>1.36</v>
      </c>
      <c r="AM68">
        <v>44.32</v>
      </c>
      <c r="AN68" s="14">
        <f t="shared" si="16"/>
        <v>8.6782847072645386E-2</v>
      </c>
      <c r="AO68" t="s">
        <v>236</v>
      </c>
      <c r="AP68" t="s">
        <v>291</v>
      </c>
    </row>
    <row r="69" spans="1:42" x14ac:dyDescent="0.2">
      <c r="A69" s="10" t="s">
        <v>108</v>
      </c>
      <c r="B69">
        <v>21</v>
      </c>
      <c r="C69" s="10" t="s">
        <v>104</v>
      </c>
      <c r="D69" s="1">
        <v>1.06</v>
      </c>
      <c r="E69" s="1">
        <f t="shared" si="12"/>
        <v>19.263157894736842</v>
      </c>
      <c r="F69" s="1">
        <v>510.7</v>
      </c>
      <c r="G69" s="1">
        <v>7.45</v>
      </c>
      <c r="H69" s="1">
        <v>300.10000000000002</v>
      </c>
      <c r="I69" t="s">
        <v>24</v>
      </c>
      <c r="J69" t="s">
        <v>25</v>
      </c>
      <c r="K69" t="s">
        <v>26</v>
      </c>
      <c r="L69">
        <v>6.5</v>
      </c>
      <c r="M69" s="6">
        <v>0.03</v>
      </c>
      <c r="N69" s="2">
        <f t="shared" si="17"/>
        <v>2.8301886792452827E-2</v>
      </c>
      <c r="O69">
        <v>0</v>
      </c>
      <c r="P69" s="2">
        <f t="shared" si="18"/>
        <v>0</v>
      </c>
      <c r="Q69" s="5">
        <v>0.78</v>
      </c>
      <c r="R69">
        <v>24.77</v>
      </c>
      <c r="S69" s="2">
        <v>0.72799999999999998</v>
      </c>
      <c r="T69" s="1">
        <f t="shared" si="13"/>
        <v>18.03256</v>
      </c>
      <c r="U69" s="2">
        <f t="shared" si="19"/>
        <v>6.0088503832055974E-2</v>
      </c>
      <c r="V69" s="1">
        <f>301.2/18.03</f>
        <v>16.70549084858569</v>
      </c>
      <c r="W69">
        <v>0.16</v>
      </c>
      <c r="X69">
        <v>0.03</v>
      </c>
      <c r="Y69">
        <v>2.35</v>
      </c>
      <c r="Z69" s="2">
        <f t="shared" si="20"/>
        <v>0.13031982147848115</v>
      </c>
      <c r="AA69" s="6">
        <v>1.25</v>
      </c>
      <c r="AB69" s="2">
        <f t="shared" si="14"/>
        <v>0.16778523489932887</v>
      </c>
      <c r="AC69" s="3">
        <v>0.4</v>
      </c>
      <c r="AD69">
        <v>1.25</v>
      </c>
      <c r="AE69" s="6">
        <v>2.2000000000000002</v>
      </c>
      <c r="AF69" s="2">
        <f t="shared" si="15"/>
        <v>0.11420765027322405</v>
      </c>
      <c r="AG69" s="9">
        <f>2.2/4.55</f>
        <v>0.48351648351648358</v>
      </c>
      <c r="AH69">
        <v>2.82</v>
      </c>
      <c r="AI69">
        <v>1.72</v>
      </c>
      <c r="AJ69" s="2">
        <v>0.73299999999999998</v>
      </c>
      <c r="AK69" s="6">
        <v>2.5099999999999998</v>
      </c>
      <c r="AL69">
        <v>1.41</v>
      </c>
      <c r="AM69">
        <v>42.18</v>
      </c>
      <c r="AN69" s="14">
        <f t="shared" si="16"/>
        <v>8.259252007049149E-2</v>
      </c>
      <c r="AO69" t="s">
        <v>238</v>
      </c>
      <c r="AP69" t="s">
        <v>291</v>
      </c>
    </row>
    <row r="70" spans="1:42" x14ac:dyDescent="0.2">
      <c r="A70" s="10" t="s">
        <v>109</v>
      </c>
      <c r="B70">
        <v>23</v>
      </c>
      <c r="C70" s="10" t="s">
        <v>104</v>
      </c>
      <c r="D70" s="1">
        <v>1.06</v>
      </c>
      <c r="E70" s="1">
        <f t="shared" si="12"/>
        <v>19.263157894736842</v>
      </c>
      <c r="F70" s="1">
        <v>510.7</v>
      </c>
      <c r="G70" s="1">
        <v>7.45</v>
      </c>
      <c r="H70" s="1">
        <v>300.10000000000002</v>
      </c>
      <c r="I70" t="s">
        <v>24</v>
      </c>
      <c r="J70" t="s">
        <v>25</v>
      </c>
      <c r="K70" t="s">
        <v>26</v>
      </c>
      <c r="L70">
        <v>17.7</v>
      </c>
      <c r="M70" s="6">
        <v>0.04</v>
      </c>
      <c r="N70" s="2">
        <f t="shared" si="17"/>
        <v>3.7735849056603772E-2</v>
      </c>
      <c r="O70">
        <v>0</v>
      </c>
      <c r="P70" s="2">
        <f t="shared" si="18"/>
        <v>0</v>
      </c>
      <c r="Q70" s="5">
        <v>0.68</v>
      </c>
      <c r="R70">
        <v>45.34</v>
      </c>
      <c r="S70" s="2">
        <v>0.76100000000000001</v>
      </c>
      <c r="T70" s="1">
        <f t="shared" si="13"/>
        <v>34.503740000000001</v>
      </c>
      <c r="U70" s="2">
        <f t="shared" si="19"/>
        <v>0.11497414195268243</v>
      </c>
      <c r="V70" s="1">
        <f>601.77/34.5</f>
        <v>17.442608695652172</v>
      </c>
      <c r="W70">
        <v>0.06</v>
      </c>
      <c r="X70">
        <v>0.08</v>
      </c>
      <c r="Y70">
        <v>2.82</v>
      </c>
      <c r="Z70" s="2">
        <f t="shared" si="20"/>
        <v>8.1730270399672608E-2</v>
      </c>
      <c r="AA70" s="6">
        <v>0.4</v>
      </c>
      <c r="AB70" s="2">
        <f t="shared" si="14"/>
        <v>5.3691275167785234E-2</v>
      </c>
      <c r="AC70" s="2">
        <v>0.36799999999999999</v>
      </c>
      <c r="AD70">
        <v>0.85</v>
      </c>
      <c r="AE70" s="6">
        <v>1.75</v>
      </c>
      <c r="AF70" s="2">
        <f t="shared" si="15"/>
        <v>9.0846994535519129E-2</v>
      </c>
      <c r="AG70" s="9">
        <f>1.75/2.65</f>
        <v>0.66037735849056611</v>
      </c>
      <c r="AH70">
        <v>1.1299999999999999</v>
      </c>
      <c r="AI70">
        <v>0.62</v>
      </c>
      <c r="AJ70" s="2">
        <v>0.45800000000000002</v>
      </c>
      <c r="AK70" s="6">
        <v>1.3</v>
      </c>
      <c r="AL70">
        <v>1.69</v>
      </c>
      <c r="AM70">
        <v>55.16</v>
      </c>
      <c r="AN70" s="14">
        <f t="shared" si="16"/>
        <v>0.1080086156256119</v>
      </c>
      <c r="AO70" t="s">
        <v>239</v>
      </c>
      <c r="AP70" t="s">
        <v>291</v>
      </c>
    </row>
    <row r="71" spans="1:42" x14ac:dyDescent="0.2">
      <c r="A71" s="10" t="s">
        <v>111</v>
      </c>
      <c r="B71">
        <v>26</v>
      </c>
      <c r="C71" s="10" t="s">
        <v>110</v>
      </c>
      <c r="D71" s="1">
        <v>1.18</v>
      </c>
      <c r="E71" s="1">
        <v>17.210526315789473</v>
      </c>
      <c r="F71" s="1">
        <v>602.29999999999995</v>
      </c>
      <c r="G71" s="1">
        <v>9.1300000000000008</v>
      </c>
      <c r="H71" s="1">
        <v>390</v>
      </c>
      <c r="I71" t="s">
        <v>24</v>
      </c>
      <c r="J71" t="s">
        <v>25</v>
      </c>
      <c r="K71" t="s">
        <v>26</v>
      </c>
      <c r="L71">
        <v>26.4</v>
      </c>
      <c r="M71" s="6">
        <v>0.14000000000000001</v>
      </c>
      <c r="N71" s="2">
        <f t="shared" si="17"/>
        <v>0.11864406779661019</v>
      </c>
      <c r="O71">
        <v>0.08</v>
      </c>
      <c r="P71" s="2">
        <f t="shared" si="18"/>
        <v>6.7796610169491525E-2</v>
      </c>
      <c r="Q71" s="5">
        <v>1.47</v>
      </c>
      <c r="R71">
        <v>55.06</v>
      </c>
      <c r="S71" s="2">
        <v>0.77300000000000002</v>
      </c>
      <c r="T71" s="1">
        <f t="shared" si="13"/>
        <v>42.56138</v>
      </c>
      <c r="U71" s="2">
        <f t="shared" si="19"/>
        <v>0.10913174358974359</v>
      </c>
      <c r="V71" s="1">
        <f>706.5/42.58</f>
        <v>16.592296852982621</v>
      </c>
      <c r="W71">
        <v>0</v>
      </c>
      <c r="X71">
        <v>0.12</v>
      </c>
      <c r="Y71">
        <v>5.86</v>
      </c>
      <c r="Z71" s="2">
        <f t="shared" si="20"/>
        <v>0.13768350556302453</v>
      </c>
      <c r="AA71" s="6">
        <v>0.79</v>
      </c>
      <c r="AB71" s="2">
        <f t="shared" si="14"/>
        <v>8.652792990142387E-2</v>
      </c>
      <c r="AC71" s="2">
        <v>0.44700000000000001</v>
      </c>
      <c r="AD71">
        <v>0.98</v>
      </c>
      <c r="AE71" s="6">
        <v>1.4</v>
      </c>
      <c r="AF71" s="2">
        <f t="shared" si="15"/>
        <v>8.1345565749235474E-2</v>
      </c>
      <c r="AG71" s="7">
        <f>1.4/2.5</f>
        <v>0.55999999999999994</v>
      </c>
      <c r="AH71">
        <v>1.1000000000000001</v>
      </c>
      <c r="AI71">
        <v>1.82</v>
      </c>
      <c r="AJ71" s="2">
        <v>0.45700000000000002</v>
      </c>
      <c r="AK71" s="6">
        <v>0.68</v>
      </c>
      <c r="AL71">
        <v>3.21</v>
      </c>
      <c r="AM71">
        <v>67.92</v>
      </c>
      <c r="AN71" s="14">
        <f t="shared" si="16"/>
        <v>0.1127677237257181</v>
      </c>
      <c r="AO71" t="s">
        <v>240</v>
      </c>
      <c r="AP71" t="s">
        <v>292</v>
      </c>
    </row>
    <row r="72" spans="1:42" x14ac:dyDescent="0.2">
      <c r="A72" s="10" t="s">
        <v>112</v>
      </c>
      <c r="B72">
        <v>27</v>
      </c>
      <c r="C72" s="10" t="s">
        <v>110</v>
      </c>
      <c r="D72" s="1">
        <v>1.18</v>
      </c>
      <c r="E72" s="1">
        <v>17.210526315789473</v>
      </c>
      <c r="F72" s="1">
        <v>602.29999999999995</v>
      </c>
      <c r="G72" s="1">
        <v>9.1300000000000008</v>
      </c>
      <c r="H72" s="1">
        <v>390</v>
      </c>
      <c r="I72" t="s">
        <v>24</v>
      </c>
      <c r="J72" t="s">
        <v>25</v>
      </c>
      <c r="K72" t="s">
        <v>26</v>
      </c>
      <c r="L72">
        <v>15.7</v>
      </c>
      <c r="M72" s="6">
        <v>0.12</v>
      </c>
      <c r="N72" s="2">
        <f t="shared" si="17"/>
        <v>0.10169491525423729</v>
      </c>
      <c r="O72">
        <v>0.06</v>
      </c>
      <c r="P72" s="2">
        <f t="shared" si="18"/>
        <v>5.0847457627118647E-2</v>
      </c>
      <c r="Q72" s="5">
        <v>1.6</v>
      </c>
      <c r="R72">
        <v>42.73</v>
      </c>
      <c r="S72" s="2">
        <v>0.85199999999999998</v>
      </c>
      <c r="T72" s="1">
        <f t="shared" si="13"/>
        <v>36.405959999999993</v>
      </c>
      <c r="U72" s="2">
        <f t="shared" si="19"/>
        <v>9.3348615384615363E-2</v>
      </c>
      <c r="V72" s="1">
        <f>567.85/36.41</f>
        <v>15.59599011260643</v>
      </c>
      <c r="W72">
        <v>0.06</v>
      </c>
      <c r="X72">
        <v>0.09</v>
      </c>
      <c r="Y72">
        <v>3.58</v>
      </c>
      <c r="Z72" s="2">
        <f t="shared" si="20"/>
        <v>9.8335547256548125E-2</v>
      </c>
      <c r="AA72" s="6">
        <v>0.51</v>
      </c>
      <c r="AB72" s="2">
        <f t="shared" si="14"/>
        <v>5.5859802847754651E-2</v>
      </c>
      <c r="AC72" s="2">
        <v>0.44400000000000001</v>
      </c>
      <c r="AD72">
        <v>1.0900000000000001</v>
      </c>
      <c r="AE72" s="6">
        <v>0.7</v>
      </c>
      <c r="AF72" s="2">
        <f t="shared" si="15"/>
        <v>4.0672782874617737E-2</v>
      </c>
      <c r="AG72" s="9">
        <f>0.7/1.02</f>
        <v>0.68627450980392146</v>
      </c>
      <c r="AH72">
        <v>1.21</v>
      </c>
      <c r="AI72">
        <v>0.64</v>
      </c>
      <c r="AJ72" s="2">
        <v>0.45500000000000002</v>
      </c>
      <c r="AK72" s="6">
        <v>0.51</v>
      </c>
      <c r="AL72">
        <v>2.36</v>
      </c>
      <c r="AM72">
        <v>50.72</v>
      </c>
      <c r="AN72" s="14">
        <f t="shared" si="16"/>
        <v>8.4210526315789472E-2</v>
      </c>
      <c r="AO72" t="s">
        <v>241</v>
      </c>
      <c r="AP72" t="s">
        <v>292</v>
      </c>
    </row>
    <row r="73" spans="1:42" x14ac:dyDescent="0.2">
      <c r="A73" s="10" t="s">
        <v>113</v>
      </c>
      <c r="B73">
        <v>29</v>
      </c>
      <c r="C73" s="10" t="s">
        <v>110</v>
      </c>
      <c r="D73" s="1">
        <v>1.18</v>
      </c>
      <c r="E73" s="1">
        <v>17.210526315789473</v>
      </c>
      <c r="F73" s="1">
        <v>602.29999999999995</v>
      </c>
      <c r="G73" s="1">
        <v>9.1300000000000008</v>
      </c>
      <c r="H73" s="1">
        <v>390</v>
      </c>
      <c r="I73" t="s">
        <v>24</v>
      </c>
      <c r="J73" t="s">
        <v>25</v>
      </c>
      <c r="K73" t="s">
        <v>26</v>
      </c>
      <c r="L73">
        <v>28.5</v>
      </c>
      <c r="M73" s="6">
        <v>0.23</v>
      </c>
      <c r="N73" s="2">
        <f t="shared" si="17"/>
        <v>0.19491525423728814</v>
      </c>
      <c r="O73">
        <v>0.31</v>
      </c>
      <c r="P73" s="2">
        <f t="shared" si="18"/>
        <v>0.26271186440677968</v>
      </c>
      <c r="Q73" s="5">
        <v>1.93</v>
      </c>
      <c r="R73">
        <v>33.97</v>
      </c>
      <c r="S73" s="2">
        <v>0.73799999999999999</v>
      </c>
      <c r="T73" s="1">
        <f t="shared" si="13"/>
        <v>25.069859999999998</v>
      </c>
      <c r="U73" s="2">
        <f t="shared" si="19"/>
        <v>6.4281692307692304E-2</v>
      </c>
      <c r="V73" s="1">
        <f>414.1/25.07</f>
        <v>16.517750299162348</v>
      </c>
      <c r="W73">
        <v>0.04</v>
      </c>
      <c r="X73">
        <v>0.04</v>
      </c>
      <c r="Y73">
        <v>2.59</v>
      </c>
      <c r="Z73" s="2">
        <f t="shared" si="20"/>
        <v>0.10331130688404323</v>
      </c>
      <c r="AA73" s="6">
        <v>0.21</v>
      </c>
      <c r="AB73" s="2">
        <f t="shared" si="14"/>
        <v>2.3001095290251915E-2</v>
      </c>
      <c r="AC73" s="3">
        <v>0.5</v>
      </c>
      <c r="AD73">
        <v>0.32</v>
      </c>
      <c r="AE73" s="6">
        <v>0.74</v>
      </c>
      <c r="AF73" s="2">
        <f t="shared" si="15"/>
        <v>4.2996941896024467E-2</v>
      </c>
      <c r="AG73" s="9">
        <f>0.74/1.61</f>
        <v>0.45962732919254656</v>
      </c>
      <c r="AH73">
        <v>1.44</v>
      </c>
      <c r="AI73">
        <v>3.47</v>
      </c>
      <c r="AJ73" s="2">
        <v>0.57599999999999996</v>
      </c>
      <c r="AK73" s="6">
        <v>0.7</v>
      </c>
      <c r="AL73">
        <v>2.38</v>
      </c>
      <c r="AM73">
        <v>44.88</v>
      </c>
      <c r="AN73" s="14">
        <f t="shared" si="16"/>
        <v>7.4514361613813723E-2</v>
      </c>
      <c r="AO73" t="s">
        <v>242</v>
      </c>
      <c r="AP73" t="s">
        <v>292</v>
      </c>
    </row>
    <row r="74" spans="1:42" x14ac:dyDescent="0.2">
      <c r="A74" s="10" t="s">
        <v>114</v>
      </c>
      <c r="B74">
        <v>26</v>
      </c>
      <c r="C74" s="10" t="s">
        <v>110</v>
      </c>
      <c r="D74" s="1">
        <v>1.18</v>
      </c>
      <c r="E74" s="1">
        <v>17.210526315789473</v>
      </c>
      <c r="F74" s="1">
        <v>602.29999999999995</v>
      </c>
      <c r="G74" s="1">
        <v>9.1300000000000008</v>
      </c>
      <c r="H74" s="1">
        <v>390</v>
      </c>
      <c r="I74" t="s">
        <v>24</v>
      </c>
      <c r="J74" t="s">
        <v>25</v>
      </c>
      <c r="K74" t="s">
        <v>26</v>
      </c>
      <c r="L74">
        <v>19.7</v>
      </c>
      <c r="M74" s="6">
        <v>0.02</v>
      </c>
      <c r="N74" s="2">
        <f t="shared" si="17"/>
        <v>1.6949152542372881E-2</v>
      </c>
      <c r="O74">
        <v>0</v>
      </c>
      <c r="P74" s="2">
        <f t="shared" si="18"/>
        <v>0</v>
      </c>
      <c r="Q74" s="5">
        <v>0.61</v>
      </c>
      <c r="R74">
        <v>50.94</v>
      </c>
      <c r="S74" s="2">
        <v>0.85799999999999998</v>
      </c>
      <c r="T74" s="1">
        <f t="shared" si="13"/>
        <v>43.706519999999998</v>
      </c>
      <c r="U74" s="2">
        <f t="shared" si="19"/>
        <v>0.11206799999999999</v>
      </c>
      <c r="V74" s="1">
        <f>731.02/43.73</f>
        <v>16.71667047793277</v>
      </c>
      <c r="W74">
        <v>0.05</v>
      </c>
      <c r="X74">
        <v>0.04</v>
      </c>
      <c r="Y74">
        <v>4.32</v>
      </c>
      <c r="Z74" s="2">
        <f t="shared" si="20"/>
        <v>9.8841088240381542E-2</v>
      </c>
      <c r="AA74" s="6">
        <v>0.71</v>
      </c>
      <c r="AB74" s="2">
        <f t="shared" si="14"/>
        <v>7.7765607886089799E-2</v>
      </c>
      <c r="AC74" s="2">
        <v>0.42399999999999999</v>
      </c>
      <c r="AD74">
        <v>1.22</v>
      </c>
      <c r="AE74" s="6">
        <v>1.37</v>
      </c>
      <c r="AF74" s="2">
        <f t="shared" si="15"/>
        <v>7.9602446483180433E-2</v>
      </c>
      <c r="AG74" s="9">
        <f>1.37/2.54</f>
        <v>0.53937007874015752</v>
      </c>
      <c r="AH74">
        <v>1.17</v>
      </c>
      <c r="AI74">
        <v>1.52</v>
      </c>
      <c r="AJ74" s="2">
        <v>0.56599999999999995</v>
      </c>
      <c r="AK74" s="6">
        <v>0.91</v>
      </c>
      <c r="AL74">
        <v>0.91</v>
      </c>
      <c r="AM74">
        <v>62.93</v>
      </c>
      <c r="AN74" s="14">
        <f t="shared" si="16"/>
        <v>0.1044828158724888</v>
      </c>
      <c r="AO74" t="s">
        <v>243</v>
      </c>
      <c r="AP74" t="s">
        <v>292</v>
      </c>
    </row>
    <row r="75" spans="1:42" x14ac:dyDescent="0.2">
      <c r="A75" s="10" t="s">
        <v>115</v>
      </c>
      <c r="B75">
        <v>30</v>
      </c>
      <c r="C75" s="10" t="s">
        <v>110</v>
      </c>
      <c r="D75" s="1">
        <v>1.18</v>
      </c>
      <c r="E75" s="1">
        <v>17.210526315789473</v>
      </c>
      <c r="F75" s="1">
        <v>602.29999999999995</v>
      </c>
      <c r="G75" s="1">
        <v>9.1300000000000008</v>
      </c>
      <c r="H75" s="1">
        <v>390</v>
      </c>
      <c r="I75" t="s">
        <v>24</v>
      </c>
      <c r="J75" t="s">
        <v>25</v>
      </c>
      <c r="K75" t="s">
        <v>26</v>
      </c>
      <c r="L75">
        <v>12.8</v>
      </c>
      <c r="M75" s="6">
        <v>0.02</v>
      </c>
      <c r="N75" s="2">
        <f t="shared" si="17"/>
        <v>1.6949152542372881E-2</v>
      </c>
      <c r="O75">
        <v>0</v>
      </c>
      <c r="P75" s="2">
        <f t="shared" si="18"/>
        <v>0</v>
      </c>
      <c r="Q75" s="5">
        <v>0.63</v>
      </c>
      <c r="R75">
        <v>44.57</v>
      </c>
      <c r="S75" s="2">
        <v>0.84399999999999997</v>
      </c>
      <c r="T75" s="1">
        <f t="shared" si="13"/>
        <v>37.617080000000001</v>
      </c>
      <c r="U75" s="2">
        <f t="shared" si="19"/>
        <v>9.6454051282051284E-2</v>
      </c>
      <c r="V75" s="1">
        <f>633.76/37.6</f>
        <v>16.855319148936168</v>
      </c>
      <c r="W75">
        <v>0.08</v>
      </c>
      <c r="X75">
        <v>0.02</v>
      </c>
      <c r="Y75">
        <v>2.58</v>
      </c>
      <c r="Z75" s="2">
        <f t="shared" si="20"/>
        <v>6.8585865782245722E-2</v>
      </c>
      <c r="AA75" s="6">
        <v>0.24</v>
      </c>
      <c r="AB75" s="2">
        <f t="shared" si="14"/>
        <v>2.6286966046002187E-2</v>
      </c>
      <c r="AC75" s="3">
        <v>0.5</v>
      </c>
      <c r="AD75">
        <v>0.31</v>
      </c>
      <c r="AE75" s="6">
        <v>1.49</v>
      </c>
      <c r="AF75" s="2">
        <f t="shared" si="15"/>
        <v>8.6574923547400623E-2</v>
      </c>
      <c r="AG75" s="9">
        <f>1.49/2.82</f>
        <v>0.52836879432624118</v>
      </c>
      <c r="AH75">
        <v>1.8</v>
      </c>
      <c r="AI75">
        <v>0.86</v>
      </c>
      <c r="AJ75" s="2">
        <v>0.61099999999999999</v>
      </c>
      <c r="AK75" s="6">
        <v>1.02</v>
      </c>
      <c r="AL75">
        <v>0.55000000000000004</v>
      </c>
      <c r="AM75">
        <v>55.54</v>
      </c>
      <c r="AN75" s="14">
        <f t="shared" si="16"/>
        <v>9.2213182799269475E-2</v>
      </c>
      <c r="AO75" t="s">
        <v>244</v>
      </c>
      <c r="AP75" t="s">
        <v>292</v>
      </c>
    </row>
    <row r="76" spans="1:42" x14ac:dyDescent="0.2">
      <c r="A76" s="10" t="s">
        <v>116</v>
      </c>
      <c r="B76">
        <v>29</v>
      </c>
      <c r="C76" s="10" t="s">
        <v>110</v>
      </c>
      <c r="D76" s="1">
        <v>1.18</v>
      </c>
      <c r="E76" s="1">
        <v>17.210526315789473</v>
      </c>
      <c r="F76" s="1">
        <v>602.29999999999995</v>
      </c>
      <c r="G76" s="1">
        <v>9.1300000000000008</v>
      </c>
      <c r="H76" s="1">
        <v>390</v>
      </c>
      <c r="I76" t="s">
        <v>24</v>
      </c>
      <c r="J76" t="s">
        <v>25</v>
      </c>
      <c r="K76" t="s">
        <v>26</v>
      </c>
      <c r="L76">
        <v>11.5</v>
      </c>
      <c r="M76" s="6">
        <v>0.11</v>
      </c>
      <c r="N76" s="2">
        <f t="shared" si="17"/>
        <v>9.3220338983050849E-2</v>
      </c>
      <c r="O76">
        <v>0.06</v>
      </c>
      <c r="P76" s="2">
        <f t="shared" si="18"/>
        <v>5.0847457627118647E-2</v>
      </c>
      <c r="Q76" s="5">
        <v>0.94</v>
      </c>
      <c r="R76">
        <v>59.42</v>
      </c>
      <c r="S76" s="2">
        <v>0.86499999999999999</v>
      </c>
      <c r="T76" s="1">
        <f t="shared" si="13"/>
        <v>51.398299999999999</v>
      </c>
      <c r="U76" s="2">
        <f t="shared" si="19"/>
        <v>0.13179051282051282</v>
      </c>
      <c r="V76" s="1">
        <f>846.65/51.41</f>
        <v>16.468585878233807</v>
      </c>
      <c r="W76">
        <v>0.13</v>
      </c>
      <c r="X76">
        <v>0.19</v>
      </c>
      <c r="Y76">
        <v>4.38</v>
      </c>
      <c r="Z76" s="2">
        <f t="shared" si="20"/>
        <v>8.5216826237443644E-2</v>
      </c>
      <c r="AA76" s="6">
        <v>0.13</v>
      </c>
      <c r="AB76" s="2">
        <f t="shared" si="14"/>
        <v>1.4238773274917852E-2</v>
      </c>
      <c r="AC76" s="3">
        <v>0.4</v>
      </c>
      <c r="AD76">
        <v>0.75</v>
      </c>
      <c r="AE76" s="6">
        <v>0.94</v>
      </c>
      <c r="AF76" s="2">
        <f t="shared" si="15"/>
        <v>5.4617737003058102E-2</v>
      </c>
      <c r="AG76" s="9">
        <f>0.94/1.5</f>
        <v>0.62666666666666659</v>
      </c>
      <c r="AH76">
        <v>0.56000000000000005</v>
      </c>
      <c r="AI76">
        <v>0.81</v>
      </c>
      <c r="AJ76" s="2">
        <v>0.56499999999999995</v>
      </c>
      <c r="AK76" s="6">
        <v>0.81</v>
      </c>
      <c r="AL76">
        <v>0.75</v>
      </c>
      <c r="AM76">
        <v>65.92</v>
      </c>
      <c r="AN76" s="14">
        <f t="shared" si="16"/>
        <v>0.10944711937572639</v>
      </c>
      <c r="AO76" t="s">
        <v>245</v>
      </c>
      <c r="AP76" t="s">
        <v>292</v>
      </c>
    </row>
    <row r="77" spans="1:42" x14ac:dyDescent="0.2">
      <c r="A77" s="10" t="s">
        <v>117</v>
      </c>
      <c r="B77">
        <v>29</v>
      </c>
      <c r="C77" s="10" t="s">
        <v>120</v>
      </c>
      <c r="D77" s="1">
        <v>1.3</v>
      </c>
      <c r="E77" s="1">
        <v>21.5</v>
      </c>
      <c r="F77" s="1">
        <v>650.9</v>
      </c>
      <c r="G77" s="1">
        <v>6.63</v>
      </c>
      <c r="H77" s="1">
        <v>443.1</v>
      </c>
      <c r="I77" t="s">
        <v>24</v>
      </c>
      <c r="J77" t="s">
        <v>25</v>
      </c>
      <c r="K77" t="s">
        <v>26</v>
      </c>
      <c r="L77">
        <v>33.5</v>
      </c>
      <c r="M77" s="6">
        <v>0.23</v>
      </c>
      <c r="N77" s="2">
        <f t="shared" si="17"/>
        <v>0.17692307692307693</v>
      </c>
      <c r="O77">
        <v>0.15</v>
      </c>
      <c r="P77" s="2">
        <f t="shared" si="18"/>
        <v>0.11538461538461538</v>
      </c>
      <c r="Q77" s="5">
        <v>2.77</v>
      </c>
      <c r="R77">
        <v>66.86</v>
      </c>
      <c r="S77" s="2">
        <v>0.76100000000000001</v>
      </c>
      <c r="T77" s="1">
        <f t="shared" si="13"/>
        <v>50.880459999999999</v>
      </c>
      <c r="U77" s="2">
        <f t="shared" si="19"/>
        <v>0.11482839088241931</v>
      </c>
      <c r="V77" s="1">
        <f>910.77/50.98</f>
        <v>17.865241271086703</v>
      </c>
      <c r="W77">
        <v>0.3</v>
      </c>
      <c r="X77">
        <v>0.25</v>
      </c>
      <c r="Y77">
        <v>9.69</v>
      </c>
      <c r="Z77" s="2">
        <f t="shared" si="20"/>
        <v>0.19044639140448022</v>
      </c>
      <c r="AA77" s="6">
        <v>0.84</v>
      </c>
      <c r="AB77" s="2">
        <f t="shared" si="14"/>
        <v>0.12669683257918551</v>
      </c>
      <c r="AC77" s="2">
        <v>0.41799999999999998</v>
      </c>
      <c r="AD77">
        <v>2.2999999999999998</v>
      </c>
      <c r="AE77" s="6">
        <v>1.49</v>
      </c>
      <c r="AF77" s="2">
        <f t="shared" si="15"/>
        <v>6.9302325581395346E-2</v>
      </c>
      <c r="AG77" s="9">
        <f>1.49/2.51</f>
        <v>0.59362549800796816</v>
      </c>
      <c r="AH77">
        <v>1.04</v>
      </c>
      <c r="AI77">
        <v>0.66</v>
      </c>
      <c r="AJ77" s="3">
        <v>0.44</v>
      </c>
      <c r="AK77" s="6">
        <v>0.78</v>
      </c>
      <c r="AL77">
        <v>3.85</v>
      </c>
      <c r="AM77">
        <v>79</v>
      </c>
      <c r="AN77" s="14">
        <f t="shared" si="16"/>
        <v>0.1213704102012598</v>
      </c>
      <c r="AO77" t="s">
        <v>246</v>
      </c>
      <c r="AP77" t="s">
        <v>293</v>
      </c>
    </row>
    <row r="78" spans="1:42" x14ac:dyDescent="0.2">
      <c r="A78" s="10" t="s">
        <v>118</v>
      </c>
      <c r="B78">
        <v>23</v>
      </c>
      <c r="C78" s="10" t="s">
        <v>120</v>
      </c>
      <c r="D78" s="1">
        <v>1.3</v>
      </c>
      <c r="E78" s="1">
        <v>21.5</v>
      </c>
      <c r="F78" s="1">
        <v>650.9</v>
      </c>
      <c r="G78" s="1">
        <v>6.63</v>
      </c>
      <c r="H78" s="1">
        <v>443.1</v>
      </c>
      <c r="I78" t="s">
        <v>24</v>
      </c>
      <c r="J78" t="s">
        <v>25</v>
      </c>
      <c r="K78" t="s">
        <v>26</v>
      </c>
      <c r="L78">
        <v>19.8</v>
      </c>
      <c r="M78" s="6">
        <v>0.05</v>
      </c>
      <c r="N78" s="2">
        <f t="shared" si="17"/>
        <v>3.8461538461538464E-2</v>
      </c>
      <c r="O78">
        <v>0.05</v>
      </c>
      <c r="P78" s="2">
        <f t="shared" si="18"/>
        <v>3.8461538461538464E-2</v>
      </c>
      <c r="Q78" s="5">
        <v>0.96</v>
      </c>
      <c r="R78">
        <v>45.88</v>
      </c>
      <c r="S78" s="2">
        <v>0.879</v>
      </c>
      <c r="T78" s="1">
        <f t="shared" si="13"/>
        <v>40.328520000000005</v>
      </c>
      <c r="U78" s="2">
        <f t="shared" si="19"/>
        <v>9.1014488828706844E-2</v>
      </c>
      <c r="V78" s="1">
        <f>656.37/40.34</f>
        <v>16.270946950917203</v>
      </c>
      <c r="W78">
        <v>0.1</v>
      </c>
      <c r="X78">
        <v>0.06</v>
      </c>
      <c r="Y78">
        <v>3.08</v>
      </c>
      <c r="Z78" s="2">
        <f t="shared" si="20"/>
        <v>7.6372750599327716E-2</v>
      </c>
      <c r="AA78" s="13">
        <v>0.91</v>
      </c>
      <c r="AB78" s="2">
        <f t="shared" si="14"/>
        <v>0.13725490196078433</v>
      </c>
      <c r="AC78" s="2">
        <v>0.56299999999999994</v>
      </c>
      <c r="AD78">
        <v>0.81</v>
      </c>
      <c r="AE78" s="6">
        <v>2.4700000000000002</v>
      </c>
      <c r="AF78" s="2">
        <f t="shared" si="15"/>
        <v>0.11488372093023257</v>
      </c>
      <c r="AG78" s="9">
        <f>2.47/3.88</f>
        <v>0.63659793814432997</v>
      </c>
      <c r="AH78">
        <v>1.66</v>
      </c>
      <c r="AI78">
        <v>0.91</v>
      </c>
      <c r="AJ78" s="3">
        <v>0.5</v>
      </c>
      <c r="AK78" s="6">
        <v>1.36</v>
      </c>
      <c r="AL78">
        <v>1.01</v>
      </c>
      <c r="AM78">
        <v>58.45</v>
      </c>
      <c r="AN78" s="14">
        <f t="shared" si="16"/>
        <v>8.979874020586881E-2</v>
      </c>
      <c r="AO78" t="s">
        <v>247</v>
      </c>
      <c r="AP78" t="s">
        <v>293</v>
      </c>
    </row>
    <row r="79" spans="1:42" x14ac:dyDescent="0.2">
      <c r="A79" s="10" t="s">
        <v>119</v>
      </c>
      <c r="B79">
        <v>19</v>
      </c>
      <c r="C79" s="10" t="s">
        <v>120</v>
      </c>
      <c r="D79" s="1">
        <v>1.3</v>
      </c>
      <c r="E79" s="1">
        <v>21.5</v>
      </c>
      <c r="F79" s="1">
        <v>650.9</v>
      </c>
      <c r="G79" s="1">
        <v>6.63</v>
      </c>
      <c r="H79" s="1">
        <v>443.1</v>
      </c>
      <c r="I79" t="s">
        <v>24</v>
      </c>
      <c r="J79" t="s">
        <v>25</v>
      </c>
      <c r="K79" t="s">
        <v>26</v>
      </c>
      <c r="L79">
        <v>18.3</v>
      </c>
      <c r="M79" s="6">
        <v>0.04</v>
      </c>
      <c r="N79" s="2">
        <f t="shared" si="17"/>
        <v>3.0769230769230767E-2</v>
      </c>
      <c r="O79">
        <v>0</v>
      </c>
      <c r="P79" s="2">
        <f t="shared" si="18"/>
        <v>0</v>
      </c>
      <c r="Q79" s="5">
        <v>0.82</v>
      </c>
      <c r="R79">
        <v>45.57</v>
      </c>
      <c r="S79" s="2">
        <v>0.86499999999999999</v>
      </c>
      <c r="T79" s="1">
        <f t="shared" si="13"/>
        <v>39.418050000000001</v>
      </c>
      <c r="U79" s="2">
        <f t="shared" si="19"/>
        <v>8.8959715639810422E-2</v>
      </c>
      <c r="V79" s="1">
        <f>525.99/39.41</f>
        <v>13.346612534889623</v>
      </c>
      <c r="W79">
        <v>0</v>
      </c>
      <c r="X79">
        <v>0.09</v>
      </c>
      <c r="Y79">
        <v>3.54</v>
      </c>
      <c r="Z79" s="2">
        <f t="shared" si="20"/>
        <v>8.9806573384528146E-2</v>
      </c>
      <c r="AA79" s="6">
        <v>1.25</v>
      </c>
      <c r="AB79" s="2">
        <f t="shared" si="14"/>
        <v>0.18853695324283559</v>
      </c>
      <c r="AC79" s="3">
        <v>0.46</v>
      </c>
      <c r="AD79">
        <v>1.2</v>
      </c>
      <c r="AE79" s="6">
        <v>1.58</v>
      </c>
      <c r="AF79" s="2">
        <f t="shared" si="15"/>
        <v>7.3488372093023266E-2</v>
      </c>
      <c r="AG79" s="9">
        <f>1.58/2.51</f>
        <v>0.62948207171314752</v>
      </c>
      <c r="AH79">
        <v>0.87</v>
      </c>
      <c r="AI79">
        <v>1.04</v>
      </c>
      <c r="AJ79" s="3">
        <v>0.38</v>
      </c>
      <c r="AK79" s="6">
        <v>1.04</v>
      </c>
      <c r="AL79">
        <v>2.56</v>
      </c>
      <c r="AM79">
        <v>57.84</v>
      </c>
      <c r="AN79" s="14">
        <f t="shared" si="16"/>
        <v>8.8861576278998322E-2</v>
      </c>
      <c r="AO79" t="s">
        <v>248</v>
      </c>
      <c r="AP79" t="s">
        <v>293</v>
      </c>
    </row>
    <row r="80" spans="1:42" x14ac:dyDescent="0.2">
      <c r="A80" s="10" t="s">
        <v>121</v>
      </c>
      <c r="B80">
        <v>32</v>
      </c>
      <c r="C80" s="10" t="s">
        <v>120</v>
      </c>
      <c r="D80" s="1">
        <v>1.3</v>
      </c>
      <c r="E80" s="1">
        <v>21.5</v>
      </c>
      <c r="F80" s="1">
        <v>650.9</v>
      </c>
      <c r="G80" s="1">
        <v>6.63</v>
      </c>
      <c r="H80" s="1">
        <v>443.1</v>
      </c>
      <c r="I80" t="s">
        <v>24</v>
      </c>
      <c r="J80" t="s">
        <v>25</v>
      </c>
      <c r="K80" t="s">
        <v>26</v>
      </c>
      <c r="L80">
        <v>16.600000000000001</v>
      </c>
      <c r="M80" s="6">
        <v>0.11</v>
      </c>
      <c r="N80" s="2">
        <f t="shared" si="17"/>
        <v>8.4615384615384606E-2</v>
      </c>
      <c r="O80">
        <v>0.06</v>
      </c>
      <c r="P80" s="2">
        <f t="shared" si="18"/>
        <v>4.6153846153846149E-2</v>
      </c>
      <c r="Q80" s="5">
        <v>1.93</v>
      </c>
      <c r="R80">
        <v>59.64</v>
      </c>
      <c r="S80" s="2">
        <v>0.78800000000000003</v>
      </c>
      <c r="T80" s="1">
        <f t="shared" si="13"/>
        <v>46.996320000000004</v>
      </c>
      <c r="U80" s="2">
        <f t="shared" si="19"/>
        <v>0.10606255924170617</v>
      </c>
      <c r="V80" s="1">
        <f>783.73/46.99</f>
        <v>16.678655032985741</v>
      </c>
      <c r="W80">
        <v>0</v>
      </c>
      <c r="X80">
        <v>0.14000000000000001</v>
      </c>
      <c r="Y80">
        <v>5.0599999999999996</v>
      </c>
      <c r="Z80" s="2">
        <f t="shared" si="20"/>
        <v>0.10766800464376783</v>
      </c>
      <c r="AA80" s="6">
        <v>0.18</v>
      </c>
      <c r="AB80" s="2">
        <f t="shared" si="14"/>
        <v>2.7149321266968326E-2</v>
      </c>
      <c r="AC80" s="3">
        <v>0.5</v>
      </c>
      <c r="AD80">
        <v>0.24</v>
      </c>
      <c r="AE80" s="6">
        <v>3.01</v>
      </c>
      <c r="AF80" s="2">
        <f t="shared" si="15"/>
        <v>0.13999999999999999</v>
      </c>
      <c r="AG80" s="9">
        <f>3.01/5</f>
        <v>0.60199999999999998</v>
      </c>
      <c r="AH80">
        <v>2.35</v>
      </c>
      <c r="AI80">
        <v>2.17</v>
      </c>
      <c r="AJ80" s="2">
        <v>0.65500000000000003</v>
      </c>
      <c r="AK80" s="6">
        <v>0.84</v>
      </c>
      <c r="AL80">
        <v>1.69</v>
      </c>
      <c r="AM80">
        <v>75.3</v>
      </c>
      <c r="AN80" s="14">
        <f t="shared" si="16"/>
        <v>0.11568597326778307</v>
      </c>
      <c r="AO80" t="s">
        <v>249</v>
      </c>
      <c r="AP80" t="s">
        <v>293</v>
      </c>
    </row>
    <row r="81" spans="1:42" x14ac:dyDescent="0.2">
      <c r="A81" s="10" t="s">
        <v>122</v>
      </c>
      <c r="B81">
        <v>32</v>
      </c>
      <c r="C81" s="10" t="s">
        <v>120</v>
      </c>
      <c r="D81" s="1">
        <v>1.3</v>
      </c>
      <c r="E81" s="1">
        <v>21.5</v>
      </c>
      <c r="F81" s="1">
        <v>650.9</v>
      </c>
      <c r="G81" s="1">
        <v>6.63</v>
      </c>
      <c r="H81" s="1">
        <v>443.1</v>
      </c>
      <c r="I81" t="s">
        <v>24</v>
      </c>
      <c r="J81" t="s">
        <v>25</v>
      </c>
      <c r="K81" t="s">
        <v>26</v>
      </c>
      <c r="L81">
        <v>11.8</v>
      </c>
      <c r="M81" s="6">
        <v>0.05</v>
      </c>
      <c r="N81" s="2">
        <f t="shared" si="17"/>
        <v>3.8461538461538464E-2</v>
      </c>
      <c r="O81">
        <v>0</v>
      </c>
      <c r="P81" s="2">
        <f t="shared" si="18"/>
        <v>0</v>
      </c>
      <c r="Q81" s="5">
        <v>1.19</v>
      </c>
      <c r="R81">
        <v>63.53</v>
      </c>
      <c r="S81" s="2">
        <v>0.78800000000000003</v>
      </c>
      <c r="T81" s="1">
        <f t="shared" si="13"/>
        <v>50.061640000000004</v>
      </c>
      <c r="U81" s="2">
        <f t="shared" si="19"/>
        <v>0.11298045587903408</v>
      </c>
      <c r="V81" s="1">
        <f>842.83/50.05</f>
        <v>16.839760239760242</v>
      </c>
      <c r="W81">
        <v>0.17</v>
      </c>
      <c r="X81">
        <v>0.27</v>
      </c>
      <c r="Y81">
        <v>4.67</v>
      </c>
      <c r="Z81" s="2">
        <f t="shared" si="20"/>
        <v>9.3284998254152277E-2</v>
      </c>
      <c r="AA81" s="6">
        <v>0</v>
      </c>
      <c r="AB81" s="2">
        <f t="shared" si="14"/>
        <v>0</v>
      </c>
      <c r="AC81" s="3">
        <v>0</v>
      </c>
      <c r="AD81">
        <v>1.1000000000000001</v>
      </c>
      <c r="AE81" s="6">
        <v>0.76</v>
      </c>
      <c r="AF81" s="2">
        <f t="shared" si="15"/>
        <v>3.5348837209302326E-2</v>
      </c>
      <c r="AG81" s="9">
        <f>0.76/1.61</f>
        <v>0.47204968944099379</v>
      </c>
      <c r="AH81">
        <v>1.27</v>
      </c>
      <c r="AI81">
        <v>0.17</v>
      </c>
      <c r="AJ81" s="3">
        <v>0.25</v>
      </c>
      <c r="AK81" s="6">
        <v>0.59</v>
      </c>
      <c r="AL81">
        <v>2.36</v>
      </c>
      <c r="AM81">
        <v>72.099999999999994</v>
      </c>
      <c r="AN81" s="14">
        <f t="shared" si="16"/>
        <v>0.11076970348747887</v>
      </c>
      <c r="AO81" t="s">
        <v>250</v>
      </c>
      <c r="AP81" t="s">
        <v>293</v>
      </c>
    </row>
    <row r="82" spans="1:42" x14ac:dyDescent="0.2">
      <c r="A82" s="10" t="s">
        <v>123</v>
      </c>
      <c r="B82">
        <v>25</v>
      </c>
      <c r="C82" s="10" t="s">
        <v>120</v>
      </c>
      <c r="D82" s="1">
        <v>1.3</v>
      </c>
      <c r="E82" s="1">
        <v>21.5</v>
      </c>
      <c r="F82" s="1">
        <v>650.9</v>
      </c>
      <c r="G82" s="1">
        <v>6.63</v>
      </c>
      <c r="H82" s="1">
        <v>443.1</v>
      </c>
      <c r="I82" t="s">
        <v>24</v>
      </c>
      <c r="J82" t="s">
        <v>25</v>
      </c>
      <c r="K82" t="s">
        <v>26</v>
      </c>
      <c r="L82">
        <v>6.9</v>
      </c>
      <c r="M82" s="6">
        <v>0.14000000000000001</v>
      </c>
      <c r="N82" s="2">
        <f t="shared" si="17"/>
        <v>0.1076923076923077</v>
      </c>
      <c r="O82">
        <v>0.46</v>
      </c>
      <c r="P82" s="2">
        <f t="shared" si="18"/>
        <v>0.35384615384615387</v>
      </c>
      <c r="Q82" s="5">
        <v>2.89</v>
      </c>
      <c r="R82">
        <v>36.61</v>
      </c>
      <c r="S82" s="2">
        <v>0.81799999999999995</v>
      </c>
      <c r="T82" s="1">
        <f t="shared" si="13"/>
        <v>29.946979999999996</v>
      </c>
      <c r="U82" s="2">
        <f t="shared" si="19"/>
        <v>6.7585150078988923E-2</v>
      </c>
      <c r="V82" s="1">
        <f>436.25/29.95</f>
        <v>14.565943238731219</v>
      </c>
      <c r="W82">
        <v>0</v>
      </c>
      <c r="X82">
        <v>0.09</v>
      </c>
      <c r="Y82">
        <v>4.7699999999999996</v>
      </c>
      <c r="Z82" s="2">
        <f t="shared" si="20"/>
        <v>0.15928150351053763</v>
      </c>
      <c r="AA82" s="6">
        <v>0.14000000000000001</v>
      </c>
      <c r="AB82" s="2">
        <f t="shared" si="14"/>
        <v>2.1116138763197588E-2</v>
      </c>
      <c r="AC82" s="3">
        <v>0.1</v>
      </c>
      <c r="AD82">
        <v>2.17</v>
      </c>
      <c r="AE82" s="6">
        <v>0.72</v>
      </c>
      <c r="AF82" s="2">
        <f t="shared" si="15"/>
        <v>3.3488372093023251E-2</v>
      </c>
      <c r="AG82" s="9">
        <f>0.72/2.17</f>
        <v>0.33179723502304148</v>
      </c>
      <c r="AH82">
        <v>1.59</v>
      </c>
      <c r="AI82">
        <v>0.57999999999999996</v>
      </c>
      <c r="AJ82" s="2">
        <v>0.33300000000000002</v>
      </c>
      <c r="AK82" s="6">
        <v>0.57999999999999996</v>
      </c>
      <c r="AL82">
        <v>5.93</v>
      </c>
      <c r="AM82">
        <v>49.05</v>
      </c>
      <c r="AN82" s="14">
        <f t="shared" si="16"/>
        <v>7.535719772622522E-2</v>
      </c>
      <c r="AO82" t="s">
        <v>251</v>
      </c>
      <c r="AP82" t="s">
        <v>293</v>
      </c>
    </row>
    <row r="83" spans="1:42" x14ac:dyDescent="0.2">
      <c r="A83" s="10" t="s">
        <v>126</v>
      </c>
      <c r="B83">
        <v>23</v>
      </c>
      <c r="C83" s="10" t="s">
        <v>125</v>
      </c>
      <c r="D83" s="1">
        <v>1.1499999999999999</v>
      </c>
      <c r="E83" s="1">
        <v>21.078947368421051</v>
      </c>
      <c r="F83" s="1">
        <v>587.6</v>
      </c>
      <c r="G83" s="1">
        <v>8.5299999999999994</v>
      </c>
      <c r="H83" s="1">
        <v>380.8</v>
      </c>
      <c r="I83" t="s">
        <v>24</v>
      </c>
      <c r="J83" t="s">
        <v>25</v>
      </c>
      <c r="K83" t="s">
        <v>26</v>
      </c>
      <c r="L83">
        <v>33</v>
      </c>
      <c r="M83" s="6">
        <v>0.09</v>
      </c>
      <c r="N83" s="2">
        <f t="shared" si="17"/>
        <v>7.8260869565217397E-2</v>
      </c>
      <c r="O83">
        <v>0.09</v>
      </c>
      <c r="P83" s="2">
        <f t="shared" si="18"/>
        <v>7.8260869565217397E-2</v>
      </c>
      <c r="Q83" s="5">
        <v>1.06</v>
      </c>
      <c r="R83">
        <v>49.12</v>
      </c>
      <c r="S83" s="3">
        <v>0.85</v>
      </c>
      <c r="T83" s="1">
        <f t="shared" si="13"/>
        <v>41.751999999999995</v>
      </c>
      <c r="U83" s="2">
        <f t="shared" si="19"/>
        <v>0.10964285714285713</v>
      </c>
      <c r="V83" s="1">
        <f>596.38/41.76</f>
        <v>14.281130268199234</v>
      </c>
      <c r="W83">
        <v>0.03</v>
      </c>
      <c r="X83">
        <v>0.04</v>
      </c>
      <c r="Y83">
        <v>4.99</v>
      </c>
      <c r="Z83" s="2">
        <f t="shared" si="20"/>
        <v>0.11951523280321903</v>
      </c>
      <c r="AA83" s="6">
        <v>0.91</v>
      </c>
      <c r="AB83" s="2">
        <f t="shared" si="14"/>
        <v>0.10668229777256742</v>
      </c>
      <c r="AC83" s="2">
        <v>0.46200000000000002</v>
      </c>
      <c r="AD83">
        <v>1.79</v>
      </c>
      <c r="AE83" s="6">
        <v>2.15</v>
      </c>
      <c r="AF83" s="2">
        <f t="shared" si="15"/>
        <v>0.10199750312109863</v>
      </c>
      <c r="AG83" s="9">
        <f>2.15/3.51</f>
        <v>0.61253561253561251</v>
      </c>
      <c r="AH83">
        <v>1.27</v>
      </c>
      <c r="AI83">
        <v>0.33</v>
      </c>
      <c r="AJ83" s="2">
        <v>0.29699999999999999</v>
      </c>
      <c r="AK83" s="6">
        <v>0.76</v>
      </c>
      <c r="AL83">
        <v>2.2999999999999998</v>
      </c>
      <c r="AM83">
        <v>60.46</v>
      </c>
      <c r="AN83" s="14">
        <f t="shared" si="16"/>
        <v>0.1028931245745405</v>
      </c>
      <c r="AO83" t="s">
        <v>252</v>
      </c>
      <c r="AP83" t="s">
        <v>294</v>
      </c>
    </row>
    <row r="84" spans="1:42" x14ac:dyDescent="0.2">
      <c r="A84" s="10" t="s">
        <v>127</v>
      </c>
      <c r="B84">
        <v>23</v>
      </c>
      <c r="C84" s="10" t="s">
        <v>125</v>
      </c>
      <c r="D84" s="1">
        <v>1.1499999999999999</v>
      </c>
      <c r="E84" s="1">
        <v>21.078947368421051</v>
      </c>
      <c r="F84" s="1">
        <v>587.6</v>
      </c>
      <c r="G84" s="1">
        <v>8.5299999999999994</v>
      </c>
      <c r="H84" s="1">
        <v>380.8</v>
      </c>
      <c r="I84" t="s">
        <v>24</v>
      </c>
      <c r="J84" t="s">
        <v>25</v>
      </c>
      <c r="K84" t="s">
        <v>26</v>
      </c>
      <c r="L84">
        <v>27.5</v>
      </c>
      <c r="M84" s="6">
        <v>0.01</v>
      </c>
      <c r="N84" s="2">
        <f t="shared" si="17"/>
        <v>8.6956521739130436E-3</v>
      </c>
      <c r="O84">
        <v>0</v>
      </c>
      <c r="P84" s="2">
        <f t="shared" si="18"/>
        <v>0</v>
      </c>
      <c r="Q84" s="5">
        <v>0.36</v>
      </c>
      <c r="R84">
        <v>48.86</v>
      </c>
      <c r="S84" s="2">
        <v>0.92900000000000005</v>
      </c>
      <c r="T84" s="1">
        <f t="shared" si="13"/>
        <v>45.390940000000001</v>
      </c>
      <c r="U84" s="2">
        <f t="shared" si="19"/>
        <v>0.11919889705882353</v>
      </c>
      <c r="V84" s="1">
        <f>715.78/45.4</f>
        <v>15.766079295154185</v>
      </c>
      <c r="W84">
        <v>0</v>
      </c>
      <c r="X84">
        <v>0.03</v>
      </c>
      <c r="Y84">
        <v>3.97</v>
      </c>
      <c r="Z84" s="2">
        <f t="shared" si="20"/>
        <v>8.7462387868592284E-2</v>
      </c>
      <c r="AA84" s="6">
        <v>0.57999999999999996</v>
      </c>
      <c r="AB84" s="2">
        <f t="shared" si="14"/>
        <v>6.799531066822978E-2</v>
      </c>
      <c r="AC84" s="3">
        <v>0.5</v>
      </c>
      <c r="AD84">
        <v>0.36</v>
      </c>
      <c r="AE84" s="6">
        <v>2</v>
      </c>
      <c r="AF84" s="2">
        <f t="shared" si="15"/>
        <v>9.4881398252184779E-2</v>
      </c>
      <c r="AG84" s="9">
        <f>2/3.31</f>
        <v>0.60422960725075525</v>
      </c>
      <c r="AH84">
        <v>1.53</v>
      </c>
      <c r="AI84">
        <v>7.0000000000000007E-2</v>
      </c>
      <c r="AJ84" s="3">
        <v>0.25</v>
      </c>
      <c r="AK84" s="6">
        <v>1.35</v>
      </c>
      <c r="AL84">
        <v>0.4</v>
      </c>
      <c r="AM84">
        <v>59.09</v>
      </c>
      <c r="AN84" s="14">
        <f t="shared" si="16"/>
        <v>0.10056160653505787</v>
      </c>
      <c r="AO84" t="s">
        <v>253</v>
      </c>
      <c r="AP84" t="s">
        <v>294</v>
      </c>
    </row>
    <row r="85" spans="1:42" x14ac:dyDescent="0.2">
      <c r="A85" s="10" t="s">
        <v>128</v>
      </c>
      <c r="B85">
        <v>23</v>
      </c>
      <c r="C85" s="10" t="s">
        <v>125</v>
      </c>
      <c r="D85" s="1">
        <v>1.1499999999999999</v>
      </c>
      <c r="E85" s="1">
        <v>21.078947368421051</v>
      </c>
      <c r="F85" s="1">
        <v>587.6</v>
      </c>
      <c r="G85" s="1">
        <v>8.5299999999999994</v>
      </c>
      <c r="H85" s="1">
        <v>380.8</v>
      </c>
      <c r="I85" t="s">
        <v>24</v>
      </c>
      <c r="J85" t="s">
        <v>25</v>
      </c>
      <c r="K85" t="s">
        <v>26</v>
      </c>
      <c r="L85">
        <v>5.4</v>
      </c>
      <c r="M85" s="6">
        <v>0.11</v>
      </c>
      <c r="N85" s="2">
        <f t="shared" si="17"/>
        <v>9.5652173913043481E-2</v>
      </c>
      <c r="O85">
        <v>0</v>
      </c>
      <c r="P85" s="2">
        <f t="shared" si="18"/>
        <v>0</v>
      </c>
      <c r="Q85" s="5">
        <v>1.66</v>
      </c>
      <c r="R85">
        <v>72.3</v>
      </c>
      <c r="S85" s="2">
        <v>0.81899999999999995</v>
      </c>
      <c r="T85" s="1">
        <f t="shared" si="13"/>
        <v>59.213699999999996</v>
      </c>
      <c r="U85" s="2">
        <f t="shared" si="19"/>
        <v>0.15549816176470588</v>
      </c>
      <c r="V85" s="1">
        <f>1215.55/59.2</f>
        <v>20.532939189189186</v>
      </c>
      <c r="W85">
        <v>0.18</v>
      </c>
      <c r="X85">
        <v>0.09</v>
      </c>
      <c r="Y85">
        <v>7.38</v>
      </c>
      <c r="Z85" s="2">
        <f t="shared" si="20"/>
        <v>0.12463331965406654</v>
      </c>
      <c r="AA85" s="6">
        <v>0.92</v>
      </c>
      <c r="AB85" s="2">
        <f t="shared" si="14"/>
        <v>0.10785463071512311</v>
      </c>
      <c r="AC85" s="2">
        <v>0.55600000000000005</v>
      </c>
      <c r="AD85">
        <v>1.1100000000000001</v>
      </c>
      <c r="AE85" s="6">
        <v>1.1100000000000001</v>
      </c>
      <c r="AF85" s="2">
        <f t="shared" si="15"/>
        <v>5.2659176029962555E-2</v>
      </c>
      <c r="AG85" s="9">
        <f>1.11/2.03</f>
        <v>0.54679802955665036</v>
      </c>
      <c r="AH85">
        <v>2.0299999999999998</v>
      </c>
      <c r="AI85">
        <v>0.18</v>
      </c>
      <c r="AJ85" s="2">
        <v>0.14299999999999999</v>
      </c>
      <c r="AK85" s="6">
        <v>0.92</v>
      </c>
      <c r="AL85">
        <v>0.74</v>
      </c>
      <c r="AM85">
        <v>85.39</v>
      </c>
      <c r="AN85" s="14">
        <f t="shared" si="16"/>
        <v>0.14531994554118446</v>
      </c>
      <c r="AO85" t="s">
        <v>254</v>
      </c>
      <c r="AP85" t="s">
        <v>294</v>
      </c>
    </row>
    <row r="86" spans="1:42" x14ac:dyDescent="0.2">
      <c r="A86" s="10" t="s">
        <v>129</v>
      </c>
      <c r="B86">
        <v>30</v>
      </c>
      <c r="C86" s="10" t="s">
        <v>125</v>
      </c>
      <c r="D86" s="1">
        <v>1.1499999999999999</v>
      </c>
      <c r="E86" s="1">
        <v>21.078947368421051</v>
      </c>
      <c r="F86" s="1">
        <v>587.6</v>
      </c>
      <c r="G86" s="1">
        <v>8.5299999999999994</v>
      </c>
      <c r="H86" s="1">
        <v>380.8</v>
      </c>
      <c r="I86" t="s">
        <v>24</v>
      </c>
      <c r="J86" t="s">
        <v>25</v>
      </c>
      <c r="K86" t="s">
        <v>26</v>
      </c>
      <c r="L86">
        <v>15.2</v>
      </c>
      <c r="M86" s="6">
        <v>0.09</v>
      </c>
      <c r="N86" s="2">
        <f t="shared" si="17"/>
        <v>7.8260869565217397E-2</v>
      </c>
      <c r="O86">
        <v>7.0000000000000007E-2</v>
      </c>
      <c r="P86" s="2">
        <f t="shared" si="18"/>
        <v>6.0869565217391314E-2</v>
      </c>
      <c r="Q86" s="5">
        <v>1.19</v>
      </c>
      <c r="R86">
        <v>40.450000000000003</v>
      </c>
      <c r="S86" s="2">
        <v>0.80400000000000005</v>
      </c>
      <c r="T86" s="1">
        <f t="shared" si="13"/>
        <v>32.521800000000006</v>
      </c>
      <c r="U86" s="2">
        <f t="shared" si="19"/>
        <v>8.5403886554621861E-2</v>
      </c>
      <c r="V86" s="1">
        <f>625.45/32.53</f>
        <v>19.226867506916694</v>
      </c>
      <c r="W86">
        <v>0.2</v>
      </c>
      <c r="X86">
        <v>7.0000000000000007E-2</v>
      </c>
      <c r="Y86">
        <v>3.17</v>
      </c>
      <c r="Z86" s="2">
        <f t="shared" si="20"/>
        <v>9.7473079595840312E-2</v>
      </c>
      <c r="AA86" s="6">
        <v>0.66</v>
      </c>
      <c r="AB86" s="2">
        <f t="shared" si="14"/>
        <v>7.737397420867527E-2</v>
      </c>
      <c r="AC86" s="2">
        <v>0.625</v>
      </c>
      <c r="AD86">
        <v>0.53</v>
      </c>
      <c r="AE86" s="6">
        <v>2.0499999999999998</v>
      </c>
      <c r="AF86" s="2">
        <f t="shared" si="15"/>
        <v>9.7253433208489393E-2</v>
      </c>
      <c r="AG86" s="9">
        <f>2.05/3.37</f>
        <v>0.6083086053412462</v>
      </c>
      <c r="AH86">
        <v>0.79</v>
      </c>
      <c r="AI86">
        <v>1.65</v>
      </c>
      <c r="AJ86" s="3">
        <v>0.61</v>
      </c>
      <c r="AK86" s="6">
        <v>1.78</v>
      </c>
      <c r="AL86">
        <v>1.39</v>
      </c>
      <c r="AM86">
        <v>53.38</v>
      </c>
      <c r="AN86" s="14">
        <f t="shared" si="16"/>
        <v>9.0844111640571823E-2</v>
      </c>
      <c r="AO86" t="s">
        <v>255</v>
      </c>
      <c r="AP86" t="s">
        <v>294</v>
      </c>
    </row>
    <row r="87" spans="1:42" x14ac:dyDescent="0.2">
      <c r="A87" s="10" t="s">
        <v>131</v>
      </c>
      <c r="B87">
        <v>24</v>
      </c>
      <c r="C87" s="10" t="s">
        <v>130</v>
      </c>
      <c r="D87" s="1">
        <v>1.47</v>
      </c>
      <c r="E87" s="1">
        <v>17.394736842105264</v>
      </c>
      <c r="F87" s="1">
        <v>639.9</v>
      </c>
      <c r="G87" s="1">
        <v>8.11</v>
      </c>
      <c r="H87" s="1">
        <v>434.6</v>
      </c>
      <c r="I87" t="s">
        <v>24</v>
      </c>
      <c r="J87" t="s">
        <v>25</v>
      </c>
      <c r="K87" t="s">
        <v>26</v>
      </c>
      <c r="L87">
        <v>26.5</v>
      </c>
      <c r="M87" s="6">
        <v>0.16</v>
      </c>
      <c r="N87" s="2">
        <f t="shared" si="17"/>
        <v>0.108843537414966</v>
      </c>
      <c r="O87">
        <v>0.26</v>
      </c>
      <c r="P87" s="2">
        <f t="shared" si="18"/>
        <v>0.17687074829931973</v>
      </c>
      <c r="Q87" s="5">
        <v>1.77</v>
      </c>
      <c r="R87">
        <v>33.64</v>
      </c>
      <c r="S87" s="2">
        <v>0.73699999999999999</v>
      </c>
      <c r="T87" s="1">
        <f t="shared" si="13"/>
        <v>24.792680000000001</v>
      </c>
      <c r="U87" s="2">
        <f t="shared" si="19"/>
        <v>5.7047123791992636E-2</v>
      </c>
      <c r="V87" s="1">
        <f>347.19/24.79</f>
        <v>14.00524405002017</v>
      </c>
      <c r="W87">
        <v>0.15</v>
      </c>
      <c r="X87">
        <v>0.23</v>
      </c>
      <c r="Y87">
        <v>4.67</v>
      </c>
      <c r="Z87" s="2">
        <f t="shared" si="20"/>
        <v>0.18836204879827431</v>
      </c>
      <c r="AA87" s="6">
        <v>1.43</v>
      </c>
      <c r="AB87" s="2">
        <f t="shared" si="14"/>
        <v>0.17632552404438964</v>
      </c>
      <c r="AC87" s="2">
        <v>0.32500000000000001</v>
      </c>
      <c r="AD87">
        <v>4.5199999999999996</v>
      </c>
      <c r="AE87" s="6">
        <v>1.7</v>
      </c>
      <c r="AF87" s="2">
        <f t="shared" si="15"/>
        <v>9.7730711043872917E-2</v>
      </c>
      <c r="AG87" s="9">
        <f>0.87/1.7</f>
        <v>0.5117647058823529</v>
      </c>
      <c r="AH87">
        <v>1.28</v>
      </c>
      <c r="AI87">
        <v>0.38</v>
      </c>
      <c r="AJ87" s="3">
        <v>0.4</v>
      </c>
      <c r="AK87" s="6">
        <v>0.49</v>
      </c>
      <c r="AL87">
        <v>7.91</v>
      </c>
      <c r="AM87">
        <v>48.07</v>
      </c>
      <c r="AN87" s="14">
        <f t="shared" si="16"/>
        <v>7.5121112673855295E-2</v>
      </c>
      <c r="AO87" t="s">
        <v>256</v>
      </c>
      <c r="AP87" t="s">
        <v>295</v>
      </c>
    </row>
    <row r="88" spans="1:42" x14ac:dyDescent="0.2">
      <c r="A88" s="10" t="s">
        <v>132</v>
      </c>
      <c r="B88">
        <v>21</v>
      </c>
      <c r="C88" s="10" t="s">
        <v>130</v>
      </c>
      <c r="D88" s="1">
        <v>1.47</v>
      </c>
      <c r="E88" s="1">
        <v>17.394736842105264</v>
      </c>
      <c r="F88" s="1">
        <v>639.9</v>
      </c>
      <c r="G88" s="1">
        <v>8.11</v>
      </c>
      <c r="H88" s="1">
        <v>434.6</v>
      </c>
      <c r="I88" t="s">
        <v>24</v>
      </c>
      <c r="J88" t="s">
        <v>25</v>
      </c>
      <c r="K88" t="s">
        <v>26</v>
      </c>
      <c r="L88">
        <v>21.3</v>
      </c>
      <c r="M88" s="6">
        <v>0.17</v>
      </c>
      <c r="N88" s="2">
        <f t="shared" si="17"/>
        <v>0.11564625850340136</v>
      </c>
      <c r="O88">
        <v>0.14000000000000001</v>
      </c>
      <c r="P88" s="2">
        <f t="shared" si="18"/>
        <v>9.5238095238095247E-2</v>
      </c>
      <c r="Q88" s="5">
        <v>1.6</v>
      </c>
      <c r="R88">
        <v>48.41</v>
      </c>
      <c r="S88" s="2">
        <v>0.86399999999999999</v>
      </c>
      <c r="T88" s="1">
        <f t="shared" si="13"/>
        <v>41.826239999999999</v>
      </c>
      <c r="U88" s="2">
        <f t="shared" si="19"/>
        <v>9.6240773124712367E-2</v>
      </c>
      <c r="V88" s="1">
        <f>640.26/41.82</f>
        <v>15.30989956958393</v>
      </c>
      <c r="W88">
        <v>0.09</v>
      </c>
      <c r="X88">
        <v>0.08</v>
      </c>
      <c r="Y88">
        <v>4.1399999999999997</v>
      </c>
      <c r="Z88" s="2">
        <f t="shared" si="20"/>
        <v>9.8980926805756389E-2</v>
      </c>
      <c r="AA88" s="6">
        <v>0.52</v>
      </c>
      <c r="AB88" s="2">
        <f t="shared" si="14"/>
        <v>6.4118372379778063E-2</v>
      </c>
      <c r="AC88" s="2">
        <v>0.36699999999999999</v>
      </c>
      <c r="AD88">
        <v>1.55</v>
      </c>
      <c r="AE88" s="6">
        <v>1.69</v>
      </c>
      <c r="AF88" s="2">
        <f t="shared" si="15"/>
        <v>9.7155824508320721E-2</v>
      </c>
      <c r="AG88" s="9">
        <f>1.69/2.31</f>
        <v>0.73160173160173159</v>
      </c>
      <c r="AH88">
        <v>1.22</v>
      </c>
      <c r="AI88">
        <v>1.6</v>
      </c>
      <c r="AJ88" s="3">
        <v>0.43</v>
      </c>
      <c r="AK88" s="6">
        <v>1.41</v>
      </c>
      <c r="AL88">
        <v>2.4900000000000002</v>
      </c>
      <c r="AM88">
        <v>58.95</v>
      </c>
      <c r="AN88" s="14">
        <f t="shared" si="16"/>
        <v>9.2123769338959216E-2</v>
      </c>
      <c r="AO88" t="s">
        <v>257</v>
      </c>
      <c r="AP88" t="s">
        <v>295</v>
      </c>
    </row>
    <row r="89" spans="1:42" x14ac:dyDescent="0.2">
      <c r="A89" s="10" t="s">
        <v>133</v>
      </c>
      <c r="B89">
        <v>27</v>
      </c>
      <c r="C89" s="10" t="s">
        <v>130</v>
      </c>
      <c r="D89" s="1">
        <v>1.47</v>
      </c>
      <c r="E89" s="1">
        <v>17.394736842105264</v>
      </c>
      <c r="F89" s="1">
        <v>639.9</v>
      </c>
      <c r="G89" s="1">
        <v>8.11</v>
      </c>
      <c r="H89" s="1">
        <v>434.6</v>
      </c>
      <c r="I89" t="s">
        <v>24</v>
      </c>
      <c r="J89" t="s">
        <v>25</v>
      </c>
      <c r="K89" t="s">
        <v>26</v>
      </c>
      <c r="L89">
        <v>20.100000000000001</v>
      </c>
      <c r="M89" s="6">
        <v>0.28999999999999998</v>
      </c>
      <c r="N89" s="2">
        <f t="shared" si="17"/>
        <v>0.19727891156462585</v>
      </c>
      <c r="O89">
        <v>0.45</v>
      </c>
      <c r="P89" s="2">
        <f t="shared" si="18"/>
        <v>0.30612244897959184</v>
      </c>
      <c r="Q89" s="5">
        <v>1.94</v>
      </c>
      <c r="R89">
        <v>62.49</v>
      </c>
      <c r="S89" s="2">
        <v>0.81299999999999994</v>
      </c>
      <c r="T89" s="1">
        <f t="shared" si="13"/>
        <v>50.804369999999999</v>
      </c>
      <c r="U89" s="2">
        <f t="shared" si="19"/>
        <v>0.11689914864242981</v>
      </c>
      <c r="V89" s="1">
        <f>829.05/50.8</f>
        <v>16.319881889763778</v>
      </c>
      <c r="W89">
        <v>0.35</v>
      </c>
      <c r="X89">
        <v>0.21</v>
      </c>
      <c r="Y89">
        <v>8.16</v>
      </c>
      <c r="Z89" s="2">
        <f t="shared" si="20"/>
        <v>0.16061610448077598</v>
      </c>
      <c r="AA89" s="6">
        <v>1.64</v>
      </c>
      <c r="AB89" s="2">
        <f t="shared" si="14"/>
        <v>0.20221948212083848</v>
      </c>
      <c r="AC89" s="2">
        <v>0.42899999999999999</v>
      </c>
      <c r="AD89">
        <v>2.2400000000000002</v>
      </c>
      <c r="AE89" s="6">
        <v>0.95</v>
      </c>
      <c r="AF89" s="2">
        <f t="shared" si="15"/>
        <v>5.4614220877458389E-2</v>
      </c>
      <c r="AG89" s="9">
        <f>0.95/1.54</f>
        <v>0.61688311688311681</v>
      </c>
      <c r="AH89">
        <v>0.75</v>
      </c>
      <c r="AI89">
        <v>0.25</v>
      </c>
      <c r="AJ89" s="2">
        <v>0.41699999999999998</v>
      </c>
      <c r="AK89" s="6">
        <v>0.6</v>
      </c>
      <c r="AL89">
        <v>4.7300000000000004</v>
      </c>
      <c r="AM89">
        <v>72.84</v>
      </c>
      <c r="AN89" s="14">
        <f t="shared" si="16"/>
        <v>0.11383028598218473</v>
      </c>
      <c r="AO89" t="s">
        <v>258</v>
      </c>
      <c r="AP89" t="s">
        <v>295</v>
      </c>
    </row>
    <row r="90" spans="1:42" x14ac:dyDescent="0.2">
      <c r="A90" s="10" t="s">
        <v>134</v>
      </c>
      <c r="B90">
        <v>27</v>
      </c>
      <c r="C90" s="10" t="s">
        <v>130</v>
      </c>
      <c r="D90" s="1">
        <v>1.47</v>
      </c>
      <c r="E90" s="1">
        <v>17.394736842105264</v>
      </c>
      <c r="F90" s="1">
        <v>639.9</v>
      </c>
      <c r="G90" s="1">
        <v>8.11</v>
      </c>
      <c r="H90" s="1">
        <v>434.6</v>
      </c>
      <c r="I90" t="s">
        <v>24</v>
      </c>
      <c r="J90" t="s">
        <v>25</v>
      </c>
      <c r="K90" t="s">
        <v>26</v>
      </c>
      <c r="L90">
        <v>18.3</v>
      </c>
      <c r="M90" s="6">
        <v>7.0000000000000007E-2</v>
      </c>
      <c r="N90" s="2">
        <f t="shared" si="17"/>
        <v>4.7619047619047623E-2</v>
      </c>
      <c r="O90">
        <v>0.11</v>
      </c>
      <c r="P90" s="2">
        <f t="shared" si="18"/>
        <v>7.4829931972789115E-2</v>
      </c>
      <c r="Q90" s="5">
        <v>1.2</v>
      </c>
      <c r="R90">
        <v>58.87</v>
      </c>
      <c r="S90" s="2">
        <v>0.879</v>
      </c>
      <c r="T90" s="1">
        <f t="shared" si="13"/>
        <v>51.746729999999999</v>
      </c>
      <c r="U90" s="2">
        <f t="shared" si="19"/>
        <v>0.11906748734468477</v>
      </c>
      <c r="V90" s="1">
        <f>842.12/51.76</f>
        <v>16.269706336939723</v>
      </c>
      <c r="W90">
        <v>0</v>
      </c>
      <c r="X90">
        <v>0.02</v>
      </c>
      <c r="Y90">
        <v>5.47</v>
      </c>
      <c r="Z90" s="2">
        <f t="shared" si="20"/>
        <v>0.10570716255887086</v>
      </c>
      <c r="AA90" s="6">
        <v>1.04</v>
      </c>
      <c r="AB90" s="2">
        <f t="shared" si="14"/>
        <v>0.12823674475955613</v>
      </c>
      <c r="AC90" s="2">
        <v>0.47399999999999998</v>
      </c>
      <c r="AD90">
        <v>1.53</v>
      </c>
      <c r="AE90" s="6">
        <v>1.2</v>
      </c>
      <c r="AF90" s="2">
        <f t="shared" si="15"/>
        <v>6.8986384266263232E-2</v>
      </c>
      <c r="AG90" s="9">
        <f>1.2/2.19</f>
        <v>0.54794520547945202</v>
      </c>
      <c r="AH90">
        <v>1.37</v>
      </c>
      <c r="AI90">
        <v>1.97</v>
      </c>
      <c r="AJ90" s="2">
        <v>0.54500000000000004</v>
      </c>
      <c r="AK90" s="6">
        <v>2.19</v>
      </c>
      <c r="AL90">
        <v>1.86</v>
      </c>
      <c r="AM90">
        <v>71.23</v>
      </c>
      <c r="AN90" s="14">
        <f t="shared" si="16"/>
        <v>0.11131426785435225</v>
      </c>
      <c r="AO90" t="s">
        <v>259</v>
      </c>
      <c r="AP90" t="s">
        <v>295</v>
      </c>
    </row>
    <row r="91" spans="1:42" x14ac:dyDescent="0.2">
      <c r="A91" s="10" t="s">
        <v>135</v>
      </c>
      <c r="B91">
        <v>27</v>
      </c>
      <c r="C91" s="10" t="s">
        <v>130</v>
      </c>
      <c r="D91" s="1">
        <v>1.47</v>
      </c>
      <c r="E91" s="1">
        <v>17.394736842105264</v>
      </c>
      <c r="F91" s="1">
        <v>639.9</v>
      </c>
      <c r="G91" s="1">
        <v>8.11</v>
      </c>
      <c r="H91" s="1">
        <v>434.6</v>
      </c>
      <c r="I91" t="s">
        <v>24</v>
      </c>
      <c r="J91" t="s">
        <v>25</v>
      </c>
      <c r="K91" t="s">
        <v>26</v>
      </c>
      <c r="L91">
        <v>15.6</v>
      </c>
      <c r="M91" s="6">
        <v>0.04</v>
      </c>
      <c r="N91" s="2">
        <f t="shared" si="17"/>
        <v>2.7210884353741499E-2</v>
      </c>
      <c r="O91">
        <v>0.13</v>
      </c>
      <c r="P91" s="2">
        <f t="shared" si="18"/>
        <v>8.8435374149659865E-2</v>
      </c>
      <c r="Q91" s="5">
        <v>0.7</v>
      </c>
      <c r="R91">
        <v>54.46</v>
      </c>
      <c r="S91" s="2">
        <v>0.88600000000000001</v>
      </c>
      <c r="T91" s="1">
        <f t="shared" si="13"/>
        <v>48.251559999999998</v>
      </c>
      <c r="U91" s="2">
        <f t="shared" si="19"/>
        <v>0.11102521859180856</v>
      </c>
      <c r="V91" s="1">
        <f>727.16/48.26</f>
        <v>15.067550766680482</v>
      </c>
      <c r="W91">
        <v>0</v>
      </c>
      <c r="X91">
        <v>0.02</v>
      </c>
      <c r="Y91">
        <v>4.79</v>
      </c>
      <c r="Z91" s="2">
        <f t="shared" si="20"/>
        <v>9.9271401795092223E-2</v>
      </c>
      <c r="AA91" s="6">
        <v>0.45</v>
      </c>
      <c r="AB91" s="2">
        <f t="shared" si="14"/>
        <v>5.5487053020961782E-2</v>
      </c>
      <c r="AC91" s="2">
        <v>0.318</v>
      </c>
      <c r="AD91">
        <v>0.96</v>
      </c>
      <c r="AE91" s="6">
        <v>1.98</v>
      </c>
      <c r="AF91" s="2">
        <f t="shared" si="15"/>
        <v>0.11382753403933434</v>
      </c>
      <c r="AG91" s="9">
        <f>1.98/3.13</f>
        <v>0.63258785942492013</v>
      </c>
      <c r="AH91">
        <v>0.7</v>
      </c>
      <c r="AI91">
        <v>0.45</v>
      </c>
      <c r="AJ91" s="3">
        <v>0.5</v>
      </c>
      <c r="AK91" s="6">
        <v>1.1499999999999999</v>
      </c>
      <c r="AL91">
        <v>0.19</v>
      </c>
      <c r="AM91">
        <v>66.41</v>
      </c>
      <c r="AN91" s="14">
        <f t="shared" si="16"/>
        <v>0.1037818409126426</v>
      </c>
      <c r="AO91" t="s">
        <v>260</v>
      </c>
      <c r="AP91" t="s">
        <v>295</v>
      </c>
    </row>
    <row r="92" spans="1:42" x14ac:dyDescent="0.2">
      <c r="A92" s="10" t="s">
        <v>136</v>
      </c>
      <c r="B92">
        <v>18</v>
      </c>
      <c r="C92" s="10" t="s">
        <v>130</v>
      </c>
      <c r="D92" s="1">
        <v>1.47</v>
      </c>
      <c r="E92" s="1">
        <v>17.394736842105264</v>
      </c>
      <c r="F92" s="1">
        <v>639.9</v>
      </c>
      <c r="G92" s="1">
        <v>8.11</v>
      </c>
      <c r="H92" s="1">
        <v>434.6</v>
      </c>
      <c r="I92" t="s">
        <v>24</v>
      </c>
      <c r="J92" t="s">
        <v>25</v>
      </c>
      <c r="K92" t="s">
        <v>26</v>
      </c>
      <c r="L92">
        <v>13.5</v>
      </c>
      <c r="M92" s="6">
        <v>0.05</v>
      </c>
      <c r="N92" s="2">
        <f t="shared" si="17"/>
        <v>3.4013605442176874E-2</v>
      </c>
      <c r="O92">
        <v>0</v>
      </c>
      <c r="P92" s="2">
        <f t="shared" si="18"/>
        <v>0</v>
      </c>
      <c r="Q92" s="5">
        <v>0.89</v>
      </c>
      <c r="R92">
        <v>53.47</v>
      </c>
      <c r="S92" s="2">
        <v>0.874</v>
      </c>
      <c r="T92" s="1">
        <f t="shared" si="13"/>
        <v>46.732779999999998</v>
      </c>
      <c r="U92" s="2">
        <f t="shared" si="19"/>
        <v>0.10753055683387022</v>
      </c>
      <c r="V92" s="1">
        <f>784.68/46.71</f>
        <v>16.798972382787412</v>
      </c>
      <c r="W92">
        <v>7.0000000000000007E-2</v>
      </c>
      <c r="X92">
        <v>0.04</v>
      </c>
      <c r="Y92">
        <v>3.64</v>
      </c>
      <c r="Z92" s="2">
        <f t="shared" si="20"/>
        <v>7.7889652616428981E-2</v>
      </c>
      <c r="AA92" s="6">
        <v>1.56</v>
      </c>
      <c r="AB92" s="2">
        <f t="shared" si="14"/>
        <v>0.19235511713933418</v>
      </c>
      <c r="AC92" s="2">
        <v>0.46700000000000003</v>
      </c>
      <c r="AD92">
        <v>2.4500000000000002</v>
      </c>
      <c r="AE92" s="6">
        <v>1.41</v>
      </c>
      <c r="AF92" s="2">
        <f t="shared" si="15"/>
        <v>8.1059001512859302E-2</v>
      </c>
      <c r="AG92" s="9">
        <f>1.41/2.9</f>
        <v>0.48620689655172411</v>
      </c>
      <c r="AH92">
        <v>1.34</v>
      </c>
      <c r="AI92">
        <v>0.67</v>
      </c>
      <c r="AJ92" s="2">
        <v>0.52900000000000003</v>
      </c>
      <c r="AK92" s="6">
        <v>1.78</v>
      </c>
      <c r="AL92">
        <v>2.2999999999999998</v>
      </c>
      <c r="AM92">
        <v>65.72</v>
      </c>
      <c r="AN92" s="14">
        <f t="shared" si="16"/>
        <v>0.10270354742928582</v>
      </c>
      <c r="AP92" t="s">
        <v>295</v>
      </c>
    </row>
    <row r="93" spans="1:42" x14ac:dyDescent="0.2">
      <c r="A93" s="10" t="s">
        <v>137</v>
      </c>
      <c r="B93">
        <v>19</v>
      </c>
      <c r="C93" s="10" t="s">
        <v>138</v>
      </c>
      <c r="D93" s="1">
        <v>0.8</v>
      </c>
      <c r="E93" s="1">
        <v>19.157894736842106</v>
      </c>
      <c r="F93" s="1">
        <v>572.29999999999995</v>
      </c>
      <c r="G93" s="1">
        <v>6.95</v>
      </c>
      <c r="H93" s="1">
        <v>367</v>
      </c>
      <c r="I93" t="s">
        <v>24</v>
      </c>
      <c r="J93" t="s">
        <v>25</v>
      </c>
      <c r="K93" t="s">
        <v>26</v>
      </c>
      <c r="L93">
        <v>16.899999999999999</v>
      </c>
      <c r="M93" s="6">
        <v>0.23</v>
      </c>
      <c r="N93" s="2">
        <f t="shared" si="17"/>
        <v>0.28749999999999998</v>
      </c>
      <c r="O93">
        <v>0.3</v>
      </c>
      <c r="P93" s="2">
        <f t="shared" si="18"/>
        <v>0.37499999999999994</v>
      </c>
      <c r="Q93" s="5">
        <v>2.13</v>
      </c>
      <c r="R93">
        <v>33.799999999999997</v>
      </c>
      <c r="S93" s="2">
        <v>0.76400000000000001</v>
      </c>
      <c r="T93" s="1">
        <f t="shared" si="13"/>
        <v>25.8232</v>
      </c>
      <c r="U93" s="2">
        <f t="shared" si="19"/>
        <v>7.036294277929156E-2</v>
      </c>
      <c r="V93" s="1">
        <f>409.52/25.82</f>
        <v>15.860573199070487</v>
      </c>
      <c r="W93">
        <v>0.12</v>
      </c>
      <c r="X93">
        <v>0.18</v>
      </c>
      <c r="Y93">
        <v>3.19</v>
      </c>
      <c r="Z93" s="2">
        <f t="shared" si="20"/>
        <v>0.12353232751943988</v>
      </c>
      <c r="AA93" s="6">
        <v>1.65</v>
      </c>
      <c r="AB93" s="2">
        <f t="shared" si="14"/>
        <v>0.23741007194244604</v>
      </c>
      <c r="AC93" s="2">
        <v>0.33700000000000002</v>
      </c>
      <c r="AD93">
        <v>2.2999999999999998</v>
      </c>
      <c r="AE93" s="6">
        <v>1.89</v>
      </c>
      <c r="AF93" s="2">
        <f t="shared" si="15"/>
        <v>9.8653846153846148E-2</v>
      </c>
      <c r="AG93" s="9">
        <f>1.89/3.13</f>
        <v>0.60383386581469645</v>
      </c>
      <c r="AH93">
        <v>2.0099999999999998</v>
      </c>
      <c r="AI93">
        <v>1.06</v>
      </c>
      <c r="AJ93" s="2">
        <v>0.33300000000000002</v>
      </c>
      <c r="AK93" s="6">
        <v>0.71</v>
      </c>
      <c r="AL93">
        <v>4.37</v>
      </c>
      <c r="AM93">
        <v>51.65</v>
      </c>
      <c r="AN93" s="14">
        <f t="shared" si="16"/>
        <v>9.0249868949851486E-2</v>
      </c>
      <c r="AO93" t="s">
        <v>261</v>
      </c>
      <c r="AP93" t="s">
        <v>296</v>
      </c>
    </row>
    <row r="94" spans="1:42" x14ac:dyDescent="0.2">
      <c r="A94" s="10" t="s">
        <v>139</v>
      </c>
      <c r="B94">
        <v>20</v>
      </c>
      <c r="C94" s="10" t="s">
        <v>138</v>
      </c>
      <c r="D94" s="1">
        <v>0.8</v>
      </c>
      <c r="E94" s="1">
        <v>19.157894736842106</v>
      </c>
      <c r="F94" s="1">
        <v>572.29999999999995</v>
      </c>
      <c r="G94" s="1">
        <v>6.95</v>
      </c>
      <c r="H94" s="1">
        <v>367</v>
      </c>
      <c r="I94" t="s">
        <v>24</v>
      </c>
      <c r="J94" t="s">
        <v>25</v>
      </c>
      <c r="K94" t="s">
        <v>26</v>
      </c>
      <c r="L94">
        <v>24.2</v>
      </c>
      <c r="M94" s="6">
        <v>0.05</v>
      </c>
      <c r="N94" s="2">
        <f t="shared" si="17"/>
        <v>6.25E-2</v>
      </c>
      <c r="O94">
        <v>0.08</v>
      </c>
      <c r="P94" s="2">
        <f t="shared" si="18"/>
        <v>9.9999999999999992E-2</v>
      </c>
      <c r="Q94" s="5">
        <v>1.24</v>
      </c>
      <c r="R94">
        <v>43.85</v>
      </c>
      <c r="S94" s="2">
        <v>0.751</v>
      </c>
      <c r="T94" s="1">
        <f t="shared" si="13"/>
        <v>32.931350000000002</v>
      </c>
      <c r="U94" s="2">
        <f t="shared" si="19"/>
        <v>8.9731198910081744E-2</v>
      </c>
      <c r="V94" s="1">
        <f>594.49/32.91</f>
        <v>18.064114250987544</v>
      </c>
      <c r="W94">
        <v>0.12</v>
      </c>
      <c r="X94">
        <v>0.19</v>
      </c>
      <c r="Y94">
        <v>5.28</v>
      </c>
      <c r="Z94" s="2">
        <f t="shared" si="20"/>
        <v>0.16033354235401828</v>
      </c>
      <c r="AA94" s="6">
        <v>1.4</v>
      </c>
      <c r="AB94" s="2">
        <f t="shared" si="14"/>
        <v>0.20143884892086328</v>
      </c>
      <c r="AC94" s="2">
        <v>0.56699999999999995</v>
      </c>
      <c r="AD94">
        <v>3.01</v>
      </c>
      <c r="AE94" s="6">
        <v>1.24</v>
      </c>
      <c r="AF94" s="2">
        <f t="shared" si="15"/>
        <v>6.4725274725274728E-2</v>
      </c>
      <c r="AG94" s="9">
        <f>1.24/2.06</f>
        <v>0.60194174757281549</v>
      </c>
      <c r="AH94">
        <v>0.91</v>
      </c>
      <c r="AI94">
        <v>0.78</v>
      </c>
      <c r="AJ94" s="2">
        <v>0.442</v>
      </c>
      <c r="AK94" s="6">
        <v>0.25</v>
      </c>
      <c r="AL94">
        <v>3.67</v>
      </c>
      <c r="AM94">
        <v>52.3</v>
      </c>
      <c r="AN94" s="14">
        <f t="shared" si="16"/>
        <v>9.1385636903721826E-2</v>
      </c>
      <c r="AO94" t="s">
        <v>262</v>
      </c>
      <c r="AP94" t="s">
        <v>296</v>
      </c>
    </row>
    <row r="95" spans="1:42" x14ac:dyDescent="0.2">
      <c r="A95" s="10" t="s">
        <v>140</v>
      </c>
      <c r="B95">
        <v>27</v>
      </c>
      <c r="C95" s="10" t="s">
        <v>138</v>
      </c>
      <c r="D95" s="1">
        <v>0.8</v>
      </c>
      <c r="E95" s="1">
        <v>19.157894736842106</v>
      </c>
      <c r="F95" s="1">
        <v>572.29999999999995</v>
      </c>
      <c r="G95" s="1">
        <v>6.95</v>
      </c>
      <c r="H95" s="1">
        <v>367</v>
      </c>
      <c r="I95" t="s">
        <v>24</v>
      </c>
      <c r="J95" t="s">
        <v>25</v>
      </c>
      <c r="K95" t="s">
        <v>26</v>
      </c>
      <c r="L95">
        <v>25.8</v>
      </c>
      <c r="M95" s="6">
        <v>0.08</v>
      </c>
      <c r="N95" s="2">
        <f t="shared" si="17"/>
        <v>9.9999999999999992E-2</v>
      </c>
      <c r="O95">
        <v>0</v>
      </c>
      <c r="P95" s="2">
        <f t="shared" si="18"/>
        <v>0</v>
      </c>
      <c r="Q95" s="5">
        <v>0.85</v>
      </c>
      <c r="R95">
        <v>40.47</v>
      </c>
      <c r="S95" s="2">
        <v>0.80300000000000005</v>
      </c>
      <c r="T95" s="1">
        <f t="shared" si="13"/>
        <v>32.497410000000002</v>
      </c>
      <c r="U95" s="2">
        <f t="shared" si="19"/>
        <v>8.8548801089918264E-2</v>
      </c>
      <c r="V95" s="1">
        <f>466.03/32.49</f>
        <v>14.343798091720528</v>
      </c>
      <c r="W95">
        <v>0.19</v>
      </c>
      <c r="X95">
        <v>7.0000000000000007E-2</v>
      </c>
      <c r="Y95">
        <v>2.71</v>
      </c>
      <c r="Z95" s="2">
        <f t="shared" si="20"/>
        <v>8.339126102664797E-2</v>
      </c>
      <c r="AA95" s="6">
        <v>0.5</v>
      </c>
      <c r="AB95" s="2">
        <f t="shared" si="14"/>
        <v>7.1942446043165464E-2</v>
      </c>
      <c r="AC95" s="2">
        <v>0.39400000000000002</v>
      </c>
      <c r="AD95">
        <v>0.7</v>
      </c>
      <c r="AE95" s="6">
        <v>1.98</v>
      </c>
      <c r="AF95" s="2">
        <f t="shared" si="15"/>
        <v>0.10335164835164834</v>
      </c>
      <c r="AG95" s="9">
        <f>1.98/3.29</f>
        <v>0.60182370820668696</v>
      </c>
      <c r="AH95">
        <v>1.82</v>
      </c>
      <c r="AI95">
        <v>2.36</v>
      </c>
      <c r="AJ95" s="2">
        <v>0.50800000000000001</v>
      </c>
      <c r="AK95" s="6">
        <v>1.2</v>
      </c>
      <c r="AL95">
        <v>2.9</v>
      </c>
      <c r="AM95">
        <v>54.22</v>
      </c>
      <c r="AN95" s="14">
        <f t="shared" si="16"/>
        <v>9.4740520705923467E-2</v>
      </c>
      <c r="AO95" t="s">
        <v>263</v>
      </c>
      <c r="AP95" t="s">
        <v>296</v>
      </c>
    </row>
    <row r="96" spans="1:42" x14ac:dyDescent="0.2">
      <c r="A96" s="10" t="s">
        <v>141</v>
      </c>
      <c r="B96">
        <v>25</v>
      </c>
      <c r="C96" s="10" t="s">
        <v>138</v>
      </c>
      <c r="D96" s="1">
        <v>0.8</v>
      </c>
      <c r="E96" s="1">
        <v>19.157894736842106</v>
      </c>
      <c r="F96" s="1">
        <v>572.29999999999995</v>
      </c>
      <c r="G96" s="1">
        <v>6.95</v>
      </c>
      <c r="H96" s="1">
        <v>367</v>
      </c>
      <c r="I96" t="s">
        <v>24</v>
      </c>
      <c r="J96" t="s">
        <v>25</v>
      </c>
      <c r="K96" t="s">
        <v>26</v>
      </c>
      <c r="L96">
        <v>24.1</v>
      </c>
      <c r="M96" s="6">
        <v>0.01</v>
      </c>
      <c r="N96" s="2">
        <f t="shared" si="17"/>
        <v>1.2499999999999999E-2</v>
      </c>
      <c r="O96">
        <v>0</v>
      </c>
      <c r="P96" s="2">
        <f t="shared" si="18"/>
        <v>0</v>
      </c>
      <c r="Q96" s="5">
        <v>0.28999999999999998</v>
      </c>
      <c r="R96">
        <v>51.16</v>
      </c>
      <c r="S96" s="3">
        <v>0.87</v>
      </c>
      <c r="T96" s="1">
        <f t="shared" si="13"/>
        <v>44.5092</v>
      </c>
      <c r="U96" s="2">
        <f t="shared" si="19"/>
        <v>0.12127847411444141</v>
      </c>
      <c r="V96" s="1">
        <f>671.21/44.48</f>
        <v>15.090152877697843</v>
      </c>
      <c r="W96">
        <v>0</v>
      </c>
      <c r="X96">
        <v>0.02</v>
      </c>
      <c r="Y96">
        <v>4.3499999999999996</v>
      </c>
      <c r="Z96" s="2">
        <f t="shared" si="20"/>
        <v>9.7732603596559803E-2</v>
      </c>
      <c r="AA96" s="6">
        <v>1.1200000000000001</v>
      </c>
      <c r="AB96" s="2">
        <f t="shared" si="14"/>
        <v>0.16115107913669066</v>
      </c>
      <c r="AC96" s="3">
        <v>0.6</v>
      </c>
      <c r="AD96">
        <v>1.41</v>
      </c>
      <c r="AE96" s="6">
        <v>0.83</v>
      </c>
      <c r="AF96" s="2">
        <f t="shared" si="15"/>
        <v>4.3324175824175817E-2</v>
      </c>
      <c r="AG96" s="9">
        <f>0.83/1.53</f>
        <v>0.54248366013071891</v>
      </c>
      <c r="AH96">
        <v>0.91</v>
      </c>
      <c r="AI96">
        <v>0.87</v>
      </c>
      <c r="AJ96" s="2">
        <v>0.65600000000000003</v>
      </c>
      <c r="AK96" s="6">
        <v>1.1200000000000001</v>
      </c>
      <c r="AL96">
        <v>0.95</v>
      </c>
      <c r="AM96">
        <v>59.74</v>
      </c>
      <c r="AN96" s="14">
        <f t="shared" si="16"/>
        <v>0.1043858116372532</v>
      </c>
      <c r="AO96" t="s">
        <v>264</v>
      </c>
      <c r="AP96" t="s">
        <v>296</v>
      </c>
    </row>
    <row r="97" spans="1:42" x14ac:dyDescent="0.2">
      <c r="A97" s="10" t="s">
        <v>142</v>
      </c>
      <c r="B97">
        <v>28</v>
      </c>
      <c r="C97" s="10" t="s">
        <v>138</v>
      </c>
      <c r="D97" s="1">
        <v>0.8</v>
      </c>
      <c r="E97" s="1">
        <v>19.157894736842106</v>
      </c>
      <c r="F97" s="1">
        <v>572.29999999999995</v>
      </c>
      <c r="G97" s="1">
        <v>6.95</v>
      </c>
      <c r="H97" s="1">
        <v>367</v>
      </c>
      <c r="I97" t="s">
        <v>24</v>
      </c>
      <c r="J97" t="s">
        <v>25</v>
      </c>
      <c r="K97" t="s">
        <v>26</v>
      </c>
      <c r="L97">
        <v>17.100000000000001</v>
      </c>
      <c r="M97" s="6">
        <v>0.01</v>
      </c>
      <c r="N97" s="2">
        <f t="shared" si="17"/>
        <v>1.2499999999999999E-2</v>
      </c>
      <c r="O97">
        <v>0</v>
      </c>
      <c r="P97" s="2">
        <f t="shared" si="18"/>
        <v>0</v>
      </c>
      <c r="Q97" s="5">
        <v>0.59</v>
      </c>
      <c r="R97">
        <v>61.15</v>
      </c>
      <c r="S97" s="2">
        <v>0.871</v>
      </c>
      <c r="T97" s="1">
        <f t="shared" si="13"/>
        <v>53.261649999999996</v>
      </c>
      <c r="U97" s="2">
        <f t="shared" si="19"/>
        <v>0.14512711171662124</v>
      </c>
      <c r="V97" s="1">
        <f>825.16/53.25</f>
        <v>15.495962441314553</v>
      </c>
      <c r="W97">
        <v>0.12</v>
      </c>
      <c r="X97">
        <v>7.0000000000000007E-2</v>
      </c>
      <c r="Y97">
        <v>5.91</v>
      </c>
      <c r="Z97" s="2">
        <f t="shared" si="20"/>
        <v>0.11096163937842708</v>
      </c>
      <c r="AA97" s="6">
        <v>0.18</v>
      </c>
      <c r="AB97" s="2">
        <f t="shared" si="14"/>
        <v>2.5899280575539568E-2</v>
      </c>
      <c r="AC97" s="3">
        <v>0.25</v>
      </c>
      <c r="AD97">
        <v>1.1100000000000001</v>
      </c>
      <c r="AE97" s="6">
        <v>0.64</v>
      </c>
      <c r="AF97" s="2">
        <f t="shared" si="15"/>
        <v>3.3406593406593403E-2</v>
      </c>
      <c r="AG97" s="9">
        <f>0.64/1.4</f>
        <v>0.45714285714285718</v>
      </c>
      <c r="AH97">
        <v>1.1100000000000001</v>
      </c>
      <c r="AI97">
        <v>0.47</v>
      </c>
      <c r="AJ97" s="2">
        <v>0.57099999999999995</v>
      </c>
      <c r="AK97" s="6">
        <v>0.53</v>
      </c>
      <c r="AL97">
        <v>0.64</v>
      </c>
      <c r="AM97">
        <v>67.760000000000005</v>
      </c>
      <c r="AN97" s="14">
        <f t="shared" si="16"/>
        <v>0.11839944085269966</v>
      </c>
      <c r="AO97" t="s">
        <v>265</v>
      </c>
      <c r="AP97" t="s">
        <v>296</v>
      </c>
    </row>
    <row r="98" spans="1:42" x14ac:dyDescent="0.2">
      <c r="A98" s="10" t="s">
        <v>143</v>
      </c>
      <c r="B98">
        <v>23</v>
      </c>
      <c r="C98" s="10" t="s">
        <v>138</v>
      </c>
      <c r="D98" s="1">
        <v>0.8</v>
      </c>
      <c r="E98" s="1">
        <v>19.157894736842106</v>
      </c>
      <c r="F98" s="1">
        <v>502.4</v>
      </c>
      <c r="G98" s="1">
        <v>6.95</v>
      </c>
      <c r="H98" s="1">
        <v>367</v>
      </c>
      <c r="I98" t="s">
        <v>24</v>
      </c>
      <c r="J98" t="s">
        <v>25</v>
      </c>
      <c r="K98" t="s">
        <v>26</v>
      </c>
      <c r="L98">
        <v>12.5</v>
      </c>
      <c r="M98" s="6">
        <v>0.03</v>
      </c>
      <c r="N98" s="2">
        <f t="shared" si="17"/>
        <v>3.7499999999999999E-2</v>
      </c>
      <c r="O98">
        <v>0</v>
      </c>
      <c r="P98" s="2">
        <f t="shared" si="18"/>
        <v>0</v>
      </c>
      <c r="Q98" s="5">
        <v>0.4</v>
      </c>
      <c r="R98">
        <v>40.020000000000003</v>
      </c>
      <c r="S98" s="2">
        <v>0.83499999999999996</v>
      </c>
      <c r="T98" s="1">
        <f t="shared" ref="T98:T110" si="21">R98*S98</f>
        <v>33.416699999999999</v>
      </c>
      <c r="U98" s="2">
        <f t="shared" si="19"/>
        <v>9.1053678474114441E-2</v>
      </c>
      <c r="V98" s="1">
        <f>510.11/33.4</f>
        <v>15.272754491017965</v>
      </c>
      <c r="W98">
        <v>0</v>
      </c>
      <c r="X98">
        <v>0.02</v>
      </c>
      <c r="Y98">
        <v>2.79</v>
      </c>
      <c r="Z98" s="2">
        <f t="shared" si="20"/>
        <v>8.34911885374678E-2</v>
      </c>
      <c r="AA98" s="6">
        <v>0.56000000000000005</v>
      </c>
      <c r="AB98" s="2">
        <f t="shared" ref="AB98:AB110" si="22">AA98/G98</f>
        <v>8.0575539568345331E-2</v>
      </c>
      <c r="AC98" s="2">
        <v>0.58299999999999996</v>
      </c>
      <c r="AD98">
        <v>1.28</v>
      </c>
      <c r="AE98" s="6">
        <v>0.32</v>
      </c>
      <c r="AF98" s="2">
        <f t="shared" ref="AF98:AF110" si="23">AE98/E98</f>
        <v>1.6703296703296702E-2</v>
      </c>
      <c r="AG98" s="9">
        <f>0.32/1.67</f>
        <v>0.19161676646706588</v>
      </c>
      <c r="AH98">
        <v>1.83</v>
      </c>
      <c r="AI98">
        <v>0.96</v>
      </c>
      <c r="AJ98" s="2">
        <v>0.66700000000000004</v>
      </c>
      <c r="AK98" s="6">
        <v>0.88</v>
      </c>
      <c r="AL98">
        <v>1.51</v>
      </c>
      <c r="AM98">
        <v>48.79</v>
      </c>
      <c r="AN98" s="14">
        <f t="shared" ref="AN98:AN110" si="24">AM98/F98</f>
        <v>9.7113853503184716E-2</v>
      </c>
      <c r="AO98" t="s">
        <v>266</v>
      </c>
      <c r="AP98" t="s">
        <v>296</v>
      </c>
    </row>
    <row r="99" spans="1:42" x14ac:dyDescent="0.2">
      <c r="A99" s="10" t="s">
        <v>145</v>
      </c>
      <c r="B99">
        <v>20</v>
      </c>
      <c r="C99" s="10" t="s">
        <v>144</v>
      </c>
      <c r="D99" s="1">
        <v>0.86</v>
      </c>
      <c r="E99" s="1">
        <v>15.5</v>
      </c>
      <c r="F99" s="1">
        <v>502.4</v>
      </c>
      <c r="G99" s="1">
        <v>7.29</v>
      </c>
      <c r="H99" s="1">
        <v>303.3</v>
      </c>
      <c r="I99" t="s">
        <v>24</v>
      </c>
      <c r="J99" t="s">
        <v>25</v>
      </c>
      <c r="K99" t="s">
        <v>26</v>
      </c>
      <c r="L99">
        <v>28.7</v>
      </c>
      <c r="M99" s="6">
        <v>0.1</v>
      </c>
      <c r="N99" s="2">
        <f t="shared" si="17"/>
        <v>0.11627906976744187</v>
      </c>
      <c r="O99">
        <v>0.1</v>
      </c>
      <c r="P99" s="2">
        <f t="shared" si="18"/>
        <v>0.11627906976744187</v>
      </c>
      <c r="Q99" s="5">
        <v>1.57</v>
      </c>
      <c r="R99">
        <v>30.84</v>
      </c>
      <c r="S99" s="3">
        <v>0.78</v>
      </c>
      <c r="T99" s="1">
        <f t="shared" si="21"/>
        <v>24.055199999999999</v>
      </c>
      <c r="U99" s="2">
        <f t="shared" si="19"/>
        <v>7.9311572700296734E-2</v>
      </c>
      <c r="V99" s="1">
        <f>378.92/24.04</f>
        <v>15.762063227953412</v>
      </c>
      <c r="W99">
        <v>0.12</v>
      </c>
      <c r="X99">
        <v>0.12</v>
      </c>
      <c r="Y99">
        <v>2.61</v>
      </c>
      <c r="Z99" s="2">
        <f t="shared" si="20"/>
        <v>0.10850044896737504</v>
      </c>
      <c r="AA99" s="6">
        <v>1.78</v>
      </c>
      <c r="AB99" s="2">
        <f t="shared" si="22"/>
        <v>0.24417009602194786</v>
      </c>
      <c r="AC99" s="2">
        <v>0.372</v>
      </c>
      <c r="AD99">
        <v>3.38</v>
      </c>
      <c r="AE99" s="6">
        <v>0.45</v>
      </c>
      <c r="AF99" s="2">
        <f t="shared" si="23"/>
        <v>2.903225806451613E-2</v>
      </c>
      <c r="AG99" s="9">
        <f>0.45/1.12</f>
        <v>0.40178571428571425</v>
      </c>
      <c r="AH99">
        <v>0.94</v>
      </c>
      <c r="AI99">
        <v>0.21</v>
      </c>
      <c r="AJ99" s="2">
        <v>0.188</v>
      </c>
      <c r="AK99" s="6">
        <v>0.38</v>
      </c>
      <c r="AL99">
        <v>5.54</v>
      </c>
      <c r="AM99">
        <v>43.87</v>
      </c>
      <c r="AN99" s="14">
        <f t="shared" si="24"/>
        <v>8.732085987261147E-2</v>
      </c>
      <c r="AO99" t="s">
        <v>267</v>
      </c>
      <c r="AP99" t="s">
        <v>297</v>
      </c>
    </row>
    <row r="100" spans="1:42" x14ac:dyDescent="0.2">
      <c r="A100" s="10" t="s">
        <v>146</v>
      </c>
      <c r="B100">
        <v>20</v>
      </c>
      <c r="C100" s="10" t="s">
        <v>144</v>
      </c>
      <c r="D100" s="1">
        <v>0.86</v>
      </c>
      <c r="E100" s="1">
        <v>15.5</v>
      </c>
      <c r="F100" s="1">
        <v>502.4</v>
      </c>
      <c r="G100" s="1">
        <v>7.29</v>
      </c>
      <c r="H100" s="1">
        <v>303.3</v>
      </c>
      <c r="I100" t="s">
        <v>24</v>
      </c>
      <c r="J100" t="s">
        <v>25</v>
      </c>
      <c r="K100" t="s">
        <v>26</v>
      </c>
      <c r="L100">
        <v>9.6999999999999993</v>
      </c>
      <c r="M100" s="6">
        <v>0.21</v>
      </c>
      <c r="N100" s="2">
        <f t="shared" si="17"/>
        <v>0.2441860465116279</v>
      </c>
      <c r="O100">
        <v>0.15</v>
      </c>
      <c r="P100" s="2">
        <f t="shared" si="18"/>
        <v>0.1744186046511628</v>
      </c>
      <c r="Q100" s="5">
        <v>4.0199999999999996</v>
      </c>
      <c r="R100">
        <v>30.8</v>
      </c>
      <c r="S100" s="2">
        <v>0.67800000000000005</v>
      </c>
      <c r="T100" s="1">
        <f t="shared" si="21"/>
        <v>20.882400000000001</v>
      </c>
      <c r="U100" s="2">
        <f t="shared" si="19"/>
        <v>6.8850642927794262E-2</v>
      </c>
      <c r="V100" s="1">
        <f>328.35/20.89</f>
        <v>15.718046912398277</v>
      </c>
      <c r="W100">
        <v>0.23</v>
      </c>
      <c r="X100">
        <v>0.12</v>
      </c>
      <c r="Y100">
        <v>3.25</v>
      </c>
      <c r="Z100" s="2">
        <f t="shared" si="20"/>
        <v>0.15563345209362908</v>
      </c>
      <c r="AA100" s="6">
        <v>3.1</v>
      </c>
      <c r="AB100" s="2">
        <f t="shared" si="22"/>
        <v>0.42524005486968453</v>
      </c>
      <c r="AC100" s="3">
        <v>0.46</v>
      </c>
      <c r="AD100">
        <v>2.63</v>
      </c>
      <c r="AE100" s="6">
        <v>0.7</v>
      </c>
      <c r="AF100" s="2">
        <f t="shared" si="23"/>
        <v>4.5161290322580643E-2</v>
      </c>
      <c r="AG100" s="9">
        <f>0.7/0.93</f>
        <v>0.75268817204301064</v>
      </c>
      <c r="AH100">
        <v>0.77</v>
      </c>
      <c r="AI100">
        <v>1.08</v>
      </c>
      <c r="AJ100" s="2">
        <v>0.38900000000000001</v>
      </c>
      <c r="AK100" s="6">
        <v>0.08</v>
      </c>
      <c r="AL100">
        <v>4.72</v>
      </c>
      <c r="AM100">
        <v>47.05</v>
      </c>
      <c r="AN100" s="14">
        <f t="shared" si="24"/>
        <v>9.3650477707006366E-2</v>
      </c>
      <c r="AO100" t="s">
        <v>268</v>
      </c>
      <c r="AP100" t="s">
        <v>297</v>
      </c>
    </row>
    <row r="101" spans="1:42" x14ac:dyDescent="0.2">
      <c r="A101" s="10" t="s">
        <v>147</v>
      </c>
      <c r="B101">
        <v>32</v>
      </c>
      <c r="C101" s="10" t="s">
        <v>144</v>
      </c>
      <c r="D101" s="1">
        <v>0.86</v>
      </c>
      <c r="E101" s="1">
        <v>15.5</v>
      </c>
      <c r="F101" s="1">
        <v>502.4</v>
      </c>
      <c r="G101" s="1">
        <v>7.29</v>
      </c>
      <c r="H101" s="1">
        <v>303.3</v>
      </c>
      <c r="I101" t="s">
        <v>24</v>
      </c>
      <c r="J101" t="s">
        <v>25</v>
      </c>
      <c r="K101" t="s">
        <v>26</v>
      </c>
      <c r="L101">
        <v>30.6</v>
      </c>
      <c r="M101" s="6">
        <v>0.01</v>
      </c>
      <c r="N101" s="2">
        <f t="shared" si="17"/>
        <v>1.1627906976744186E-2</v>
      </c>
      <c r="O101">
        <v>0.03</v>
      </c>
      <c r="P101" s="2">
        <f t="shared" si="18"/>
        <v>3.4883720930232558E-2</v>
      </c>
      <c r="Q101" s="5">
        <v>0.43</v>
      </c>
      <c r="R101">
        <v>47.27</v>
      </c>
      <c r="S101" s="2">
        <v>0.86399999999999999</v>
      </c>
      <c r="T101" s="1">
        <f t="shared" si="21"/>
        <v>40.841280000000005</v>
      </c>
      <c r="U101" s="2">
        <f t="shared" si="19"/>
        <v>0.13465637982195847</v>
      </c>
      <c r="V101" s="1">
        <f>658.95/40.86</f>
        <v>16.127019089574159</v>
      </c>
      <c r="W101">
        <v>0.03</v>
      </c>
      <c r="X101">
        <v>0.04</v>
      </c>
      <c r="Y101">
        <v>3.93</v>
      </c>
      <c r="Z101" s="2">
        <f t="shared" si="20"/>
        <v>9.6226171167994728E-2</v>
      </c>
      <c r="AA101" s="6">
        <v>0.56000000000000005</v>
      </c>
      <c r="AB101" s="2">
        <f t="shared" si="22"/>
        <v>7.6817558299039787E-2</v>
      </c>
      <c r="AC101" s="2">
        <v>0.58599999999999997</v>
      </c>
      <c r="AD101">
        <v>0.72</v>
      </c>
      <c r="AE101" s="6">
        <v>1.34</v>
      </c>
      <c r="AF101" s="2">
        <f t="shared" si="23"/>
        <v>8.6451612903225811E-2</v>
      </c>
      <c r="AG101" s="9">
        <f>1.34/2.22</f>
        <v>0.60360360360360354</v>
      </c>
      <c r="AH101">
        <v>1.1100000000000001</v>
      </c>
      <c r="AI101">
        <v>0.59</v>
      </c>
      <c r="AJ101" s="2">
        <v>0.42899999999999999</v>
      </c>
      <c r="AK101" s="6">
        <v>0.95</v>
      </c>
      <c r="AL101">
        <v>0.43</v>
      </c>
      <c r="AM101">
        <v>55.06</v>
      </c>
      <c r="AN101" s="14">
        <f t="shared" si="24"/>
        <v>0.109593949044586</v>
      </c>
      <c r="AO101" t="s">
        <v>269</v>
      </c>
      <c r="AP101" t="s">
        <v>297</v>
      </c>
    </row>
    <row r="102" spans="1:42" x14ac:dyDescent="0.2">
      <c r="A102" s="10" t="s">
        <v>148</v>
      </c>
      <c r="B102">
        <v>24</v>
      </c>
      <c r="C102" s="10" t="s">
        <v>144</v>
      </c>
      <c r="D102" s="1">
        <v>0.86</v>
      </c>
      <c r="E102" s="1">
        <v>15.5</v>
      </c>
      <c r="F102" s="1">
        <v>502.4</v>
      </c>
      <c r="G102" s="1">
        <v>7.29</v>
      </c>
      <c r="H102" s="1">
        <v>303.3</v>
      </c>
      <c r="I102" t="s">
        <v>24</v>
      </c>
      <c r="J102" t="s">
        <v>25</v>
      </c>
      <c r="K102" t="s">
        <v>26</v>
      </c>
      <c r="L102">
        <v>21.8</v>
      </c>
      <c r="M102" s="6">
        <v>0.03</v>
      </c>
      <c r="N102" s="2">
        <f t="shared" si="17"/>
        <v>3.4883720930232558E-2</v>
      </c>
      <c r="O102">
        <v>0.05</v>
      </c>
      <c r="P102" s="2">
        <f t="shared" si="18"/>
        <v>5.8139534883720936E-2</v>
      </c>
      <c r="Q102" s="5">
        <v>0.55000000000000004</v>
      </c>
      <c r="R102">
        <v>35.97</v>
      </c>
      <c r="S102" s="2">
        <v>0.82599999999999996</v>
      </c>
      <c r="T102" s="1">
        <f t="shared" si="21"/>
        <v>29.711219999999997</v>
      </c>
      <c r="U102" s="2">
        <f t="shared" si="19"/>
        <v>9.7959841740850637E-2</v>
      </c>
      <c r="V102" s="1">
        <f>486.8/29.72</f>
        <v>16.379542395693136</v>
      </c>
      <c r="W102">
        <v>0.05</v>
      </c>
      <c r="X102">
        <v>0.04</v>
      </c>
      <c r="Y102">
        <v>2.71</v>
      </c>
      <c r="Z102" s="2">
        <f t="shared" si="20"/>
        <v>9.1211333630864033E-2</v>
      </c>
      <c r="AA102" s="6">
        <v>1.29</v>
      </c>
      <c r="AB102" s="2">
        <f t="shared" si="22"/>
        <v>0.17695473251028807</v>
      </c>
      <c r="AC102" s="2">
        <v>0.52800000000000002</v>
      </c>
      <c r="AD102">
        <v>1.19</v>
      </c>
      <c r="AE102" s="6">
        <v>1.01</v>
      </c>
      <c r="AF102" s="2">
        <f t="shared" si="23"/>
        <v>6.5161290322580639E-2</v>
      </c>
      <c r="AG102" s="9">
        <f>1.01/2.02</f>
        <v>0.5</v>
      </c>
      <c r="AH102">
        <v>1.1499999999999999</v>
      </c>
      <c r="AI102">
        <v>0.6</v>
      </c>
      <c r="AJ102" s="2">
        <v>0.371</v>
      </c>
      <c r="AK102" s="6">
        <v>1.29</v>
      </c>
      <c r="AL102">
        <v>0.92</v>
      </c>
      <c r="AM102">
        <v>46.72</v>
      </c>
      <c r="AN102" s="14">
        <f t="shared" si="24"/>
        <v>9.2993630573248415E-2</v>
      </c>
      <c r="AO102" t="s">
        <v>270</v>
      </c>
      <c r="AP102" t="s">
        <v>297</v>
      </c>
    </row>
    <row r="103" spans="1:42" x14ac:dyDescent="0.2">
      <c r="A103" s="10" t="s">
        <v>149</v>
      </c>
      <c r="B103">
        <v>28</v>
      </c>
      <c r="C103" s="10" t="s">
        <v>144</v>
      </c>
      <c r="D103" s="1">
        <v>0.86</v>
      </c>
      <c r="E103" s="1">
        <v>15.5</v>
      </c>
      <c r="F103" s="1">
        <v>502.4</v>
      </c>
      <c r="G103" s="1">
        <v>7.29</v>
      </c>
      <c r="H103" s="1">
        <v>303.3</v>
      </c>
      <c r="I103" t="s">
        <v>24</v>
      </c>
      <c r="J103" t="s">
        <v>25</v>
      </c>
      <c r="K103" t="s">
        <v>26</v>
      </c>
      <c r="L103">
        <v>13.7</v>
      </c>
      <c r="M103" s="6">
        <v>0.03</v>
      </c>
      <c r="N103" s="2">
        <f t="shared" si="17"/>
        <v>3.4883720930232558E-2</v>
      </c>
      <c r="O103">
        <v>0</v>
      </c>
      <c r="P103" s="2">
        <f t="shared" si="18"/>
        <v>0</v>
      </c>
      <c r="Q103" s="5">
        <v>0.8</v>
      </c>
      <c r="R103">
        <v>40.090000000000003</v>
      </c>
      <c r="S103" s="2">
        <v>0.79100000000000004</v>
      </c>
      <c r="T103" s="1">
        <f t="shared" si="21"/>
        <v>31.711190000000006</v>
      </c>
      <c r="U103" s="2">
        <f t="shared" si="19"/>
        <v>0.10455387405209365</v>
      </c>
      <c r="V103" s="1">
        <f>624.33/31.72</f>
        <v>19.682534678436319</v>
      </c>
      <c r="W103">
        <v>0</v>
      </c>
      <c r="X103">
        <v>0.01</v>
      </c>
      <c r="Y103">
        <v>3.71</v>
      </c>
      <c r="Z103" s="2">
        <f t="shared" si="20"/>
        <v>0.11699340201361094</v>
      </c>
      <c r="AA103" s="6">
        <v>0.36</v>
      </c>
      <c r="AB103" s="2">
        <f t="shared" si="22"/>
        <v>4.9382716049382713E-2</v>
      </c>
      <c r="AC103" s="2">
        <v>0.41699999999999998</v>
      </c>
      <c r="AD103">
        <v>0.28999999999999998</v>
      </c>
      <c r="AE103" s="6">
        <v>1.38</v>
      </c>
      <c r="AF103" s="2">
        <f t="shared" si="23"/>
        <v>8.9032258064516118E-2</v>
      </c>
      <c r="AG103" s="9">
        <f>1.38/2.55</f>
        <v>0.54117647058823526</v>
      </c>
      <c r="AH103">
        <v>2.5499999999999998</v>
      </c>
      <c r="AI103">
        <v>0.51</v>
      </c>
      <c r="AJ103" s="2">
        <v>0.24099999999999999</v>
      </c>
      <c r="AK103" s="6">
        <v>1.38</v>
      </c>
      <c r="AL103">
        <v>0.28999999999999998</v>
      </c>
      <c r="AM103">
        <v>53.77</v>
      </c>
      <c r="AN103" s="14">
        <f t="shared" si="24"/>
        <v>0.10702627388535033</v>
      </c>
      <c r="AO103" t="s">
        <v>271</v>
      </c>
      <c r="AP103" t="s">
        <v>297</v>
      </c>
    </row>
    <row r="104" spans="1:42" x14ac:dyDescent="0.2">
      <c r="A104" s="10" t="s">
        <v>150</v>
      </c>
      <c r="B104">
        <v>26</v>
      </c>
      <c r="C104" s="10" t="s">
        <v>144</v>
      </c>
      <c r="D104" s="1">
        <v>0.86</v>
      </c>
      <c r="E104" s="1">
        <v>15.5</v>
      </c>
      <c r="F104" s="1">
        <v>502.4</v>
      </c>
      <c r="G104" s="1">
        <v>7.29</v>
      </c>
      <c r="H104" s="1">
        <v>303.3</v>
      </c>
      <c r="I104" t="s">
        <v>24</v>
      </c>
      <c r="J104" t="s">
        <v>25</v>
      </c>
      <c r="K104" t="s">
        <v>26</v>
      </c>
      <c r="L104">
        <v>9.6</v>
      </c>
      <c r="M104" s="6">
        <v>7.0000000000000007E-2</v>
      </c>
      <c r="N104" s="2">
        <f t="shared" si="17"/>
        <v>8.1395348837209308E-2</v>
      </c>
      <c r="O104">
        <v>0.1</v>
      </c>
      <c r="P104" s="2">
        <f t="shared" si="18"/>
        <v>0.11627906976744187</v>
      </c>
      <c r="Q104" s="5">
        <v>1.99</v>
      </c>
      <c r="R104">
        <v>44.06</v>
      </c>
      <c r="S104" s="2">
        <v>0.82899999999999996</v>
      </c>
      <c r="T104" s="1">
        <f t="shared" si="21"/>
        <v>36.525739999999999</v>
      </c>
      <c r="U104" s="2">
        <f t="shared" si="19"/>
        <v>0.12042776129244971</v>
      </c>
      <c r="V104" s="1">
        <f>647.58/36.52</f>
        <v>17.732201533406354</v>
      </c>
      <c r="W104">
        <v>0</v>
      </c>
      <c r="X104">
        <v>0.05</v>
      </c>
      <c r="Y104">
        <v>4.5</v>
      </c>
      <c r="Z104" s="2">
        <f t="shared" si="20"/>
        <v>0.12320078936114642</v>
      </c>
      <c r="AA104" s="6">
        <v>0.42</v>
      </c>
      <c r="AB104" s="2">
        <f t="shared" si="22"/>
        <v>5.761316872427983E-2</v>
      </c>
      <c r="AC104" s="2">
        <v>0.36399999999999999</v>
      </c>
      <c r="AD104">
        <v>1.1499999999999999</v>
      </c>
      <c r="AE104" s="6">
        <v>1.05</v>
      </c>
      <c r="AF104" s="2">
        <f t="shared" si="23"/>
        <v>6.7741935483870974E-2</v>
      </c>
      <c r="AG104" s="9">
        <f>1.05/2.09</f>
        <v>0.50239234449760772</v>
      </c>
      <c r="AH104">
        <v>1.26</v>
      </c>
      <c r="AI104">
        <v>0.73</v>
      </c>
      <c r="AJ104" s="2">
        <v>0.46700000000000003</v>
      </c>
      <c r="AK104" s="6">
        <v>0.94</v>
      </c>
      <c r="AL104">
        <v>2.41</v>
      </c>
      <c r="AM104">
        <v>55.88</v>
      </c>
      <c r="AN104" s="14">
        <f t="shared" si="24"/>
        <v>0.11122611464968155</v>
      </c>
      <c r="AO104" t="s">
        <v>272</v>
      </c>
      <c r="AP104" t="s">
        <v>297</v>
      </c>
    </row>
    <row r="105" spans="1:42" x14ac:dyDescent="0.2">
      <c r="A105" s="10" t="s">
        <v>152</v>
      </c>
      <c r="B105">
        <v>18</v>
      </c>
      <c r="C105" s="10" t="s">
        <v>151</v>
      </c>
      <c r="D105" s="1">
        <v>0.81</v>
      </c>
      <c r="E105" s="1">
        <v>17.157894736842106</v>
      </c>
      <c r="F105" s="1">
        <v>599.4</v>
      </c>
      <c r="G105" s="1">
        <v>8.2100000000000009</v>
      </c>
      <c r="H105" s="1">
        <v>408.7</v>
      </c>
      <c r="I105" t="s">
        <v>24</v>
      </c>
      <c r="J105" t="s">
        <v>25</v>
      </c>
      <c r="K105" t="s">
        <v>26</v>
      </c>
      <c r="L105">
        <v>20.8</v>
      </c>
      <c r="M105" s="6">
        <v>0.12</v>
      </c>
      <c r="N105" s="2">
        <f t="shared" si="17"/>
        <v>0.14814814814814814</v>
      </c>
      <c r="O105">
        <v>0.1</v>
      </c>
      <c r="P105" s="2">
        <f t="shared" si="18"/>
        <v>0.12345679012345678</v>
      </c>
      <c r="Q105" s="5">
        <v>1.34</v>
      </c>
      <c r="R105">
        <v>29.78</v>
      </c>
      <c r="S105" s="2">
        <v>0.81299999999999994</v>
      </c>
      <c r="T105" s="1">
        <f t="shared" si="21"/>
        <v>24.21114</v>
      </c>
      <c r="U105" s="2">
        <f t="shared" si="19"/>
        <v>5.9239393197944704E-2</v>
      </c>
      <c r="V105" s="1">
        <f>362.31/24.2</f>
        <v>14.971487603305786</v>
      </c>
      <c r="W105">
        <v>0</v>
      </c>
      <c r="X105">
        <v>7.0000000000000007E-2</v>
      </c>
      <c r="Y105">
        <v>3.07</v>
      </c>
      <c r="Z105" s="2">
        <f t="shared" si="20"/>
        <v>0.12680113369300247</v>
      </c>
      <c r="AA105" s="6">
        <v>2.16</v>
      </c>
      <c r="AB105" s="2">
        <f t="shared" si="22"/>
        <v>0.26309378806333739</v>
      </c>
      <c r="AC105" s="2">
        <v>0.40899999999999997</v>
      </c>
      <c r="AD105">
        <v>3.31</v>
      </c>
      <c r="AE105" s="6">
        <v>0.96</v>
      </c>
      <c r="AF105" s="2">
        <f t="shared" si="23"/>
        <v>5.5950920245398765E-2</v>
      </c>
      <c r="AG105" s="9">
        <f>0.96/1.63</f>
        <v>0.58895705521472397</v>
      </c>
      <c r="AH105">
        <v>0.91</v>
      </c>
      <c r="AI105">
        <v>0.48</v>
      </c>
      <c r="AJ105" s="2">
        <v>0.28599999999999998</v>
      </c>
      <c r="AK105" s="6">
        <v>0.38</v>
      </c>
      <c r="AL105">
        <v>4.6100000000000003</v>
      </c>
      <c r="AM105">
        <v>41.69</v>
      </c>
      <c r="AN105" s="14">
        <f t="shared" si="24"/>
        <v>6.9552886219552884E-2</v>
      </c>
      <c r="AO105" t="s">
        <v>273</v>
      </c>
      <c r="AP105" t="s">
        <v>298</v>
      </c>
    </row>
    <row r="106" spans="1:42" x14ac:dyDescent="0.2">
      <c r="A106" s="10" t="s">
        <v>153</v>
      </c>
      <c r="B106">
        <v>20</v>
      </c>
      <c r="C106" s="10" t="s">
        <v>151</v>
      </c>
      <c r="D106" s="1">
        <v>0.81</v>
      </c>
      <c r="E106" s="1">
        <v>17.157894736842106</v>
      </c>
      <c r="F106" s="1">
        <v>599.4</v>
      </c>
      <c r="G106" s="1">
        <v>8.2100000000000009</v>
      </c>
      <c r="H106" s="1">
        <v>408.7</v>
      </c>
      <c r="I106" t="s">
        <v>24</v>
      </c>
      <c r="J106" t="s">
        <v>25</v>
      </c>
      <c r="K106" t="s">
        <v>26</v>
      </c>
      <c r="L106">
        <v>32.299999999999997</v>
      </c>
      <c r="M106" s="6">
        <v>0.12</v>
      </c>
      <c r="N106" s="2">
        <f t="shared" si="17"/>
        <v>0.14814814814814814</v>
      </c>
      <c r="O106">
        <v>0.06</v>
      </c>
      <c r="P106" s="2">
        <f t="shared" si="18"/>
        <v>7.407407407407407E-2</v>
      </c>
      <c r="Q106" s="5">
        <v>1.3</v>
      </c>
      <c r="R106">
        <v>42.11</v>
      </c>
      <c r="S106" s="2">
        <v>0.79900000000000004</v>
      </c>
      <c r="T106" s="1">
        <f t="shared" si="21"/>
        <v>33.645890000000001</v>
      </c>
      <c r="U106" s="2">
        <f t="shared" si="19"/>
        <v>8.2324174210912662E-2</v>
      </c>
      <c r="V106" s="1">
        <f>569.45/33.63</f>
        <v>16.932798096937258</v>
      </c>
      <c r="W106">
        <v>0.12</v>
      </c>
      <c r="X106">
        <v>0.09</v>
      </c>
      <c r="Y106">
        <v>4.49</v>
      </c>
      <c r="Z106" s="2">
        <f t="shared" si="20"/>
        <v>0.13344869165297751</v>
      </c>
      <c r="AA106" s="6">
        <v>1.52</v>
      </c>
      <c r="AB106" s="2">
        <f t="shared" si="22"/>
        <v>0.18514007308160776</v>
      </c>
      <c r="AC106" s="3">
        <v>0.45</v>
      </c>
      <c r="AD106">
        <v>2.35</v>
      </c>
      <c r="AE106" s="6">
        <v>1.49</v>
      </c>
      <c r="AF106" s="2">
        <f t="shared" si="23"/>
        <v>8.6840490797546008E-2</v>
      </c>
      <c r="AG106" s="9">
        <f>1.49/2.75</f>
        <v>0.54181818181818187</v>
      </c>
      <c r="AH106">
        <v>1.33</v>
      </c>
      <c r="AI106">
        <v>0.46</v>
      </c>
      <c r="AJ106" s="2">
        <v>0.625</v>
      </c>
      <c r="AK106" s="6">
        <v>0.87</v>
      </c>
      <c r="AL106">
        <v>3.34</v>
      </c>
      <c r="AM106">
        <v>54.45</v>
      </c>
      <c r="AN106" s="14">
        <f t="shared" si="24"/>
        <v>9.0840840840840847E-2</v>
      </c>
      <c r="AO106" t="s">
        <v>299</v>
      </c>
      <c r="AP106" t="s">
        <v>298</v>
      </c>
    </row>
    <row r="107" spans="1:42" x14ac:dyDescent="0.2">
      <c r="A107" s="10" t="s">
        <v>154</v>
      </c>
      <c r="B107">
        <v>25</v>
      </c>
      <c r="C107" s="10" t="s">
        <v>151</v>
      </c>
      <c r="D107" s="1">
        <v>0.81</v>
      </c>
      <c r="E107" s="1">
        <v>17.157894736842106</v>
      </c>
      <c r="F107" s="1">
        <v>599.4</v>
      </c>
      <c r="G107" s="1">
        <v>8.2100000000000009</v>
      </c>
      <c r="H107" s="1">
        <v>408.7</v>
      </c>
      <c r="I107" t="s">
        <v>24</v>
      </c>
      <c r="J107" t="s">
        <v>25</v>
      </c>
      <c r="K107" t="s">
        <v>26</v>
      </c>
      <c r="L107">
        <v>23.9</v>
      </c>
      <c r="M107" s="6">
        <v>0.03</v>
      </c>
      <c r="N107" s="2">
        <f t="shared" si="17"/>
        <v>3.7037037037037035E-2</v>
      </c>
      <c r="O107">
        <v>0.04</v>
      </c>
      <c r="P107" s="2">
        <f t="shared" si="18"/>
        <v>4.9382716049382713E-2</v>
      </c>
      <c r="Q107" s="5">
        <v>0.42</v>
      </c>
      <c r="R107">
        <v>46.4</v>
      </c>
      <c r="S107" s="2">
        <v>0.90400000000000003</v>
      </c>
      <c r="T107" s="1">
        <f t="shared" si="21"/>
        <v>41.945599999999999</v>
      </c>
      <c r="U107" s="2">
        <f t="shared" si="19"/>
        <v>0.10263175923660386</v>
      </c>
      <c r="V107" s="1">
        <f>612.8/41.97</f>
        <v>14.600905408625207</v>
      </c>
      <c r="W107">
        <v>0</v>
      </c>
      <c r="X107">
        <v>0.05</v>
      </c>
      <c r="Y107">
        <v>2.76</v>
      </c>
      <c r="Z107" s="2">
        <f t="shared" si="20"/>
        <v>6.5799511748550504E-2</v>
      </c>
      <c r="AA107" s="6">
        <v>0.33</v>
      </c>
      <c r="AB107" s="2">
        <f t="shared" si="22"/>
        <v>4.0194884287454324E-2</v>
      </c>
      <c r="AC107" s="3">
        <v>0.4</v>
      </c>
      <c r="AD107">
        <v>1.21</v>
      </c>
      <c r="AE107" s="6">
        <v>1.05</v>
      </c>
      <c r="AF107" s="2">
        <f t="shared" si="23"/>
        <v>6.1196319018404909E-2</v>
      </c>
      <c r="AG107" s="9">
        <f>1.05/2.05</f>
        <v>0.51219512195121952</v>
      </c>
      <c r="AH107">
        <v>1.17</v>
      </c>
      <c r="AI107">
        <v>0.71</v>
      </c>
      <c r="AJ107" s="3">
        <v>0.5</v>
      </c>
      <c r="AK107" s="6">
        <v>1.34</v>
      </c>
      <c r="AL107">
        <v>1.21</v>
      </c>
      <c r="AM107">
        <v>56.03</v>
      </c>
      <c r="AN107" s="14">
        <f t="shared" si="24"/>
        <v>9.3476810143476821E-2</v>
      </c>
      <c r="AO107" t="s">
        <v>274</v>
      </c>
      <c r="AP107" t="s">
        <v>298</v>
      </c>
    </row>
    <row r="108" spans="1:42" x14ac:dyDescent="0.2">
      <c r="A108" s="10" t="s">
        <v>155</v>
      </c>
      <c r="B108">
        <v>20</v>
      </c>
      <c r="C108" s="10" t="s">
        <v>151</v>
      </c>
      <c r="D108" s="1">
        <v>0.81</v>
      </c>
      <c r="E108" s="1">
        <v>17.157894736842106</v>
      </c>
      <c r="F108" s="1">
        <v>599.4</v>
      </c>
      <c r="G108" s="1">
        <v>8.2100000000000009</v>
      </c>
      <c r="H108" s="1">
        <v>408.7</v>
      </c>
      <c r="I108" t="s">
        <v>24</v>
      </c>
      <c r="J108" t="s">
        <v>25</v>
      </c>
      <c r="K108" t="s">
        <v>26</v>
      </c>
      <c r="L108">
        <v>18.399999999999999</v>
      </c>
      <c r="M108" s="6">
        <v>0.05</v>
      </c>
      <c r="N108" s="2">
        <f t="shared" si="17"/>
        <v>6.1728395061728392E-2</v>
      </c>
      <c r="O108">
        <v>0.05</v>
      </c>
      <c r="P108" s="2">
        <f t="shared" si="18"/>
        <v>6.1728395061728392E-2</v>
      </c>
      <c r="Q108" s="5">
        <v>0.54</v>
      </c>
      <c r="R108">
        <v>38.39</v>
      </c>
      <c r="S108" s="3">
        <v>0.85</v>
      </c>
      <c r="T108" s="1">
        <f t="shared" si="21"/>
        <v>32.631500000000003</v>
      </c>
      <c r="U108" s="2">
        <f t="shared" si="19"/>
        <v>7.9842182529973091E-2</v>
      </c>
      <c r="V108" s="1">
        <f>507.64/32.63</f>
        <v>15.557462457860863</v>
      </c>
      <c r="W108">
        <v>0.05</v>
      </c>
      <c r="X108">
        <v>0.05</v>
      </c>
      <c r="Y108">
        <v>2.66</v>
      </c>
      <c r="Z108" s="2">
        <f t="shared" si="20"/>
        <v>8.1516326249176402E-2</v>
      </c>
      <c r="AA108" s="6">
        <v>1.03</v>
      </c>
      <c r="AB108" s="2">
        <f t="shared" si="22"/>
        <v>0.12545676004872106</v>
      </c>
      <c r="AC108" s="2">
        <v>0.67900000000000005</v>
      </c>
      <c r="AD108">
        <v>1.58</v>
      </c>
      <c r="AE108" s="6">
        <v>1.31</v>
      </c>
      <c r="AF108" s="2">
        <f t="shared" si="23"/>
        <v>7.6349693251533735E-2</v>
      </c>
      <c r="AG108" s="9">
        <f>1.31/2.72</f>
        <v>0.48161764705882354</v>
      </c>
      <c r="AH108">
        <v>1.47</v>
      </c>
      <c r="AI108">
        <v>1.0900000000000001</v>
      </c>
      <c r="AJ108" s="2">
        <v>0.52600000000000002</v>
      </c>
      <c r="AK108" s="6">
        <v>0.76</v>
      </c>
      <c r="AL108">
        <v>1.0900000000000001</v>
      </c>
      <c r="AM108">
        <v>47.8</v>
      </c>
      <c r="AN108" s="14">
        <f t="shared" si="24"/>
        <v>7.9746413079746406E-2</v>
      </c>
      <c r="AO108" t="s">
        <v>275</v>
      </c>
      <c r="AP108" t="s">
        <v>298</v>
      </c>
    </row>
    <row r="109" spans="1:42" x14ac:dyDescent="0.2">
      <c r="A109" s="10" t="s">
        <v>156</v>
      </c>
      <c r="B109">
        <v>24</v>
      </c>
      <c r="C109" s="10" t="s">
        <v>151</v>
      </c>
      <c r="D109" s="1">
        <v>0.81</v>
      </c>
      <c r="E109" s="1">
        <v>17.157894736842106</v>
      </c>
      <c r="F109" s="1">
        <v>599.4</v>
      </c>
      <c r="G109" s="1">
        <v>8.2100000000000009</v>
      </c>
      <c r="H109" s="1">
        <v>408.7</v>
      </c>
      <c r="I109" t="s">
        <v>24</v>
      </c>
      <c r="J109" t="s">
        <v>25</v>
      </c>
      <c r="K109" t="s">
        <v>26</v>
      </c>
      <c r="L109">
        <v>7.7</v>
      </c>
      <c r="M109" s="6">
        <v>0.08</v>
      </c>
      <c r="N109" s="2">
        <f t="shared" si="17"/>
        <v>9.8765432098765427E-2</v>
      </c>
      <c r="O109">
        <v>0.13</v>
      </c>
      <c r="P109" s="2">
        <f t="shared" si="18"/>
        <v>0.16049382716049382</v>
      </c>
      <c r="Q109" s="5">
        <v>0.91</v>
      </c>
      <c r="R109">
        <v>46.43</v>
      </c>
      <c r="S109" s="2">
        <v>0.75800000000000001</v>
      </c>
      <c r="T109" s="1">
        <f t="shared" si="21"/>
        <v>35.193939999999998</v>
      </c>
      <c r="U109" s="2">
        <f t="shared" si="19"/>
        <v>8.6111915830682645E-2</v>
      </c>
      <c r="V109" s="1">
        <f>573.78/35.22</f>
        <v>16.291311754684838</v>
      </c>
      <c r="W109">
        <v>0</v>
      </c>
      <c r="X109">
        <v>0.09</v>
      </c>
      <c r="Y109">
        <v>3.52</v>
      </c>
      <c r="Z109" s="2">
        <f t="shared" si="20"/>
        <v>0.10001721887347652</v>
      </c>
      <c r="AA109" s="6">
        <v>0.52</v>
      </c>
      <c r="AB109" s="2">
        <f t="shared" si="22"/>
        <v>6.3337393422655291E-2</v>
      </c>
      <c r="AC109" s="2">
        <v>0.66700000000000004</v>
      </c>
      <c r="AD109">
        <v>0.65</v>
      </c>
      <c r="AE109" s="6">
        <v>1.7</v>
      </c>
      <c r="AF109" s="2">
        <f t="shared" si="23"/>
        <v>9.9079754601226991E-2</v>
      </c>
      <c r="AG109" s="9">
        <f>1.7/2.61</f>
        <v>0.65134099616858243</v>
      </c>
      <c r="AH109">
        <v>1.04</v>
      </c>
      <c r="AI109">
        <v>0.52</v>
      </c>
      <c r="AJ109" s="3">
        <v>0.4</v>
      </c>
      <c r="AK109" s="6">
        <v>0.26</v>
      </c>
      <c r="AL109">
        <v>3.26</v>
      </c>
      <c r="AM109">
        <v>56.22</v>
      </c>
      <c r="AN109" s="14">
        <f t="shared" si="24"/>
        <v>9.3793793793793795E-2</v>
      </c>
      <c r="AO109" t="s">
        <v>276</v>
      </c>
      <c r="AP109" t="s">
        <v>298</v>
      </c>
    </row>
    <row r="110" spans="1:42" x14ac:dyDescent="0.2">
      <c r="A110" s="10" t="s">
        <v>157</v>
      </c>
      <c r="B110">
        <v>28</v>
      </c>
      <c r="C110" s="10" t="s">
        <v>151</v>
      </c>
      <c r="D110" s="1">
        <v>0.81</v>
      </c>
      <c r="E110" s="1">
        <v>17.157894736842106</v>
      </c>
      <c r="F110" s="1">
        <v>599.4</v>
      </c>
      <c r="G110" s="1">
        <v>8.2100000000000009</v>
      </c>
      <c r="H110" s="1">
        <v>408.7</v>
      </c>
      <c r="I110" t="s">
        <v>24</v>
      </c>
      <c r="J110" t="s">
        <v>25</v>
      </c>
      <c r="K110" t="s">
        <v>26</v>
      </c>
      <c r="L110">
        <v>22.4</v>
      </c>
      <c r="M110" s="6">
        <v>0.12</v>
      </c>
      <c r="N110" s="2">
        <f t="shared" si="17"/>
        <v>0.14814814814814814</v>
      </c>
      <c r="O110">
        <v>0.13</v>
      </c>
      <c r="P110" s="2">
        <f t="shared" si="18"/>
        <v>0.16049382716049382</v>
      </c>
      <c r="Q110" s="5">
        <v>0.76</v>
      </c>
      <c r="R110">
        <v>46.77</v>
      </c>
      <c r="S110" s="2">
        <v>0.88800000000000001</v>
      </c>
      <c r="T110" s="1">
        <f t="shared" si="21"/>
        <v>41.531760000000006</v>
      </c>
      <c r="U110" s="2">
        <f t="shared" si="19"/>
        <v>0.10161918277465135</v>
      </c>
      <c r="V110" s="1">
        <f>612.03/41.54</f>
        <v>14.733509870004815</v>
      </c>
      <c r="W110">
        <v>0</v>
      </c>
      <c r="X110">
        <v>7.0000000000000007E-2</v>
      </c>
      <c r="Y110">
        <v>3.35</v>
      </c>
      <c r="Z110" s="2">
        <f t="shared" si="20"/>
        <v>8.0661161482200608E-2</v>
      </c>
      <c r="AA110" s="6">
        <v>0.94</v>
      </c>
      <c r="AB110" s="2">
        <f t="shared" si="22"/>
        <v>0.11449451887941534</v>
      </c>
      <c r="AC110" s="2">
        <v>0.42899999999999999</v>
      </c>
      <c r="AD110">
        <v>1.61</v>
      </c>
      <c r="AE110" s="6">
        <v>1.48</v>
      </c>
      <c r="AF110" s="2">
        <f t="shared" si="23"/>
        <v>8.6257668711656438E-2</v>
      </c>
      <c r="AG110" s="9">
        <f>1.48/2.1</f>
        <v>0.7047619047619047</v>
      </c>
      <c r="AH110">
        <v>1.25</v>
      </c>
      <c r="AI110">
        <v>1.1200000000000001</v>
      </c>
      <c r="AJ110" s="3">
        <v>0.51</v>
      </c>
      <c r="AK110" s="6">
        <v>0.89</v>
      </c>
      <c r="AL110">
        <v>2.91</v>
      </c>
      <c r="AM110">
        <v>56.83</v>
      </c>
      <c r="AN110" s="14">
        <f t="shared" si="24"/>
        <v>9.4811478144811473E-2</v>
      </c>
      <c r="AO110" t="s">
        <v>277</v>
      </c>
      <c r="AP110" t="s">
        <v>298</v>
      </c>
    </row>
    <row r="111" spans="1:42" x14ac:dyDescent="0.2">
      <c r="A111" s="10"/>
      <c r="C111" s="10"/>
      <c r="D111" s="1"/>
      <c r="E111" s="1"/>
      <c r="F111" s="1"/>
      <c r="G111" s="1"/>
      <c r="H111" s="1"/>
      <c r="N111" s="1"/>
      <c r="Q111" s="5"/>
      <c r="R111"/>
    </row>
    <row r="112" spans="1:42" x14ac:dyDescent="0.2">
      <c r="Q112" s="5"/>
      <c r="R112"/>
    </row>
    <row r="113" spans="17:18" x14ac:dyDescent="0.2">
      <c r="Q113" s="5"/>
      <c r="R113"/>
    </row>
    <row r="114" spans="17:18" x14ac:dyDescent="0.2">
      <c r="Q114" s="5"/>
      <c r="R114"/>
    </row>
    <row r="115" spans="17:18" x14ac:dyDescent="0.2">
      <c r="Q115" s="5"/>
      <c r="R115"/>
    </row>
    <row r="116" spans="17:18" x14ac:dyDescent="0.2">
      <c r="Q116" s="5"/>
      <c r="R116"/>
    </row>
    <row r="117" spans="17:18" x14ac:dyDescent="0.2">
      <c r="Q117" s="5"/>
      <c r="R117"/>
    </row>
    <row r="118" spans="17:18" x14ac:dyDescent="0.2">
      <c r="Q118" s="5"/>
      <c r="R118"/>
    </row>
    <row r="119" spans="17:18" x14ac:dyDescent="0.2">
      <c r="Q119" s="5"/>
      <c r="R119"/>
    </row>
    <row r="120" spans="17:18" x14ac:dyDescent="0.2">
      <c r="Q120" s="5"/>
      <c r="R120"/>
    </row>
    <row r="121" spans="17:18" x14ac:dyDescent="0.2">
      <c r="Q121" s="5"/>
      <c r="R121"/>
    </row>
    <row r="122" spans="17:18" x14ac:dyDescent="0.2">
      <c r="Q122" s="5"/>
      <c r="R122"/>
    </row>
    <row r="123" spans="17:18" x14ac:dyDescent="0.2">
      <c r="Q123" s="5"/>
      <c r="R123"/>
    </row>
    <row r="124" spans="17:18" x14ac:dyDescent="0.2">
      <c r="Q124" s="5"/>
      <c r="R124"/>
    </row>
    <row r="125" spans="17:18" x14ac:dyDescent="0.2">
      <c r="Q125" s="5"/>
      <c r="R125"/>
    </row>
    <row r="126" spans="17:18" x14ac:dyDescent="0.2">
      <c r="Q126" s="5"/>
      <c r="R126"/>
    </row>
    <row r="127" spans="17:18" x14ac:dyDescent="0.2">
      <c r="Q127" s="5"/>
      <c r="R127"/>
    </row>
    <row r="128" spans="17:18" x14ac:dyDescent="0.2">
      <c r="Q128" s="5"/>
      <c r="R128"/>
    </row>
    <row r="129" spans="17:18" x14ac:dyDescent="0.2">
      <c r="Q129" s="5"/>
      <c r="R129"/>
    </row>
    <row r="130" spans="17:18" x14ac:dyDescent="0.2">
      <c r="Q130" s="5"/>
      <c r="R130"/>
    </row>
    <row r="131" spans="17:18" x14ac:dyDescent="0.2">
      <c r="Q131" s="5"/>
      <c r="R131"/>
    </row>
    <row r="132" spans="17:18" x14ac:dyDescent="0.2">
      <c r="Q132" s="5"/>
      <c r="R132"/>
    </row>
    <row r="133" spans="17:18" x14ac:dyDescent="0.2">
      <c r="Q133" s="5"/>
      <c r="R133"/>
    </row>
    <row r="134" spans="17:18" x14ac:dyDescent="0.2">
      <c r="Q134" s="5"/>
      <c r="R134"/>
    </row>
    <row r="135" spans="17:18" x14ac:dyDescent="0.2">
      <c r="Q135" s="5"/>
      <c r="R135"/>
    </row>
    <row r="136" spans="17:18" x14ac:dyDescent="0.2">
      <c r="Q136" s="5"/>
      <c r="R136"/>
    </row>
    <row r="137" spans="17:18" x14ac:dyDescent="0.2">
      <c r="Q137" s="5"/>
      <c r="R137"/>
    </row>
    <row r="138" spans="17:18" x14ac:dyDescent="0.2">
      <c r="Q138" s="5"/>
      <c r="R138"/>
    </row>
    <row r="139" spans="17:18" x14ac:dyDescent="0.2">
      <c r="Q139" s="5"/>
      <c r="R139"/>
    </row>
    <row r="140" spans="17:18" x14ac:dyDescent="0.2">
      <c r="Q140" s="5"/>
      <c r="R140"/>
    </row>
    <row r="141" spans="17:18" x14ac:dyDescent="0.2">
      <c r="Q141" s="5"/>
      <c r="R141"/>
    </row>
    <row r="142" spans="17:18" x14ac:dyDescent="0.2">
      <c r="Q142" s="5"/>
      <c r="R142"/>
    </row>
    <row r="143" spans="17:18" x14ac:dyDescent="0.2">
      <c r="Q143" s="5"/>
      <c r="R143"/>
    </row>
    <row r="144" spans="17:18" x14ac:dyDescent="0.2">
      <c r="Q144" s="5"/>
      <c r="R144"/>
    </row>
    <row r="145" spans="17:18" x14ac:dyDescent="0.2">
      <c r="Q145" s="5"/>
      <c r="R145"/>
    </row>
    <row r="146" spans="17:18" x14ac:dyDescent="0.2">
      <c r="Q146" s="5"/>
      <c r="R146"/>
    </row>
    <row r="147" spans="17:18" x14ac:dyDescent="0.2">
      <c r="Q147" s="5"/>
      <c r="R147"/>
    </row>
    <row r="148" spans="17:18" x14ac:dyDescent="0.2">
      <c r="Q148" s="5"/>
      <c r="R148"/>
    </row>
    <row r="149" spans="17:18" x14ac:dyDescent="0.2">
      <c r="Q149" s="5"/>
      <c r="R149"/>
    </row>
    <row r="150" spans="17:18" x14ac:dyDescent="0.2">
      <c r="Q150" s="5"/>
      <c r="R150"/>
    </row>
    <row r="151" spans="17:18" x14ac:dyDescent="0.2">
      <c r="Q151" s="5"/>
      <c r="R151"/>
    </row>
    <row r="152" spans="17:18" x14ac:dyDescent="0.2">
      <c r="Q152" s="5"/>
      <c r="R152"/>
    </row>
    <row r="153" spans="17:18" x14ac:dyDescent="0.2">
      <c r="Q153" s="5"/>
      <c r="R153"/>
    </row>
    <row r="154" spans="17:18" x14ac:dyDescent="0.2">
      <c r="Q154" s="5"/>
      <c r="R154"/>
    </row>
    <row r="155" spans="17:18" x14ac:dyDescent="0.2">
      <c r="Q155" s="5"/>
      <c r="R155"/>
    </row>
    <row r="156" spans="17:18" x14ac:dyDescent="0.2">
      <c r="Q156" s="5"/>
      <c r="R156"/>
    </row>
    <row r="157" spans="17:18" x14ac:dyDescent="0.2">
      <c r="Q157" s="5"/>
      <c r="R157"/>
    </row>
    <row r="158" spans="17:18" x14ac:dyDescent="0.2">
      <c r="Q158" s="5"/>
      <c r="R158"/>
    </row>
    <row r="159" spans="17:18" x14ac:dyDescent="0.2">
      <c r="Q159" s="5"/>
      <c r="R159"/>
    </row>
    <row r="160" spans="17:18" x14ac:dyDescent="0.2">
      <c r="Q160" s="5"/>
      <c r="R160"/>
    </row>
    <row r="161" spans="17:18" x14ac:dyDescent="0.2">
      <c r="Q161" s="5"/>
      <c r="R161"/>
    </row>
    <row r="162" spans="17:18" x14ac:dyDescent="0.2">
      <c r="Q162" s="5"/>
      <c r="R162"/>
    </row>
    <row r="163" spans="17:18" x14ac:dyDescent="0.2">
      <c r="Q163" s="5"/>
      <c r="R163"/>
    </row>
    <row r="164" spans="17:18" x14ac:dyDescent="0.2">
      <c r="Q164" s="5"/>
      <c r="R164"/>
    </row>
    <row r="165" spans="17:18" x14ac:dyDescent="0.2">
      <c r="Q165" s="5"/>
      <c r="R165"/>
    </row>
    <row r="166" spans="17:18" x14ac:dyDescent="0.2">
      <c r="Q166" s="5"/>
      <c r="R166"/>
    </row>
    <row r="167" spans="17:18" x14ac:dyDescent="0.2">
      <c r="Q167" s="5"/>
      <c r="R167"/>
    </row>
    <row r="168" spans="17:18" x14ac:dyDescent="0.2">
      <c r="Q168" s="5"/>
      <c r="R168"/>
    </row>
    <row r="169" spans="17:18" x14ac:dyDescent="0.2">
      <c r="Q169" s="5"/>
      <c r="R169"/>
    </row>
    <row r="170" spans="17:18" x14ac:dyDescent="0.2">
      <c r="Q170" s="5"/>
      <c r="R170"/>
    </row>
    <row r="171" spans="17:18" x14ac:dyDescent="0.2">
      <c r="Q171" s="5"/>
      <c r="R171"/>
    </row>
    <row r="172" spans="17:18" x14ac:dyDescent="0.2">
      <c r="Q172" s="5"/>
      <c r="R172"/>
    </row>
    <row r="173" spans="17:18" x14ac:dyDescent="0.2">
      <c r="Q173" s="5"/>
      <c r="R173"/>
    </row>
    <row r="174" spans="17:18" x14ac:dyDescent="0.2">
      <c r="Q174" s="5"/>
      <c r="R174"/>
    </row>
    <row r="175" spans="17:18" x14ac:dyDescent="0.2">
      <c r="Q175" s="5"/>
      <c r="R175"/>
    </row>
    <row r="176" spans="17:18" x14ac:dyDescent="0.2">
      <c r="Q176" s="5"/>
      <c r="R176"/>
    </row>
    <row r="177" spans="17:18" x14ac:dyDescent="0.2">
      <c r="Q177" s="5"/>
      <c r="R177"/>
    </row>
    <row r="178" spans="17:18" x14ac:dyDescent="0.2">
      <c r="Q178" s="5"/>
      <c r="R178"/>
    </row>
    <row r="179" spans="17:18" x14ac:dyDescent="0.2">
      <c r="Q179" s="5"/>
      <c r="R179"/>
    </row>
    <row r="180" spans="17:18" x14ac:dyDescent="0.2">
      <c r="Q180" s="5"/>
      <c r="R180"/>
    </row>
    <row r="181" spans="17:18" x14ac:dyDescent="0.2">
      <c r="Q181" s="5"/>
      <c r="R181"/>
    </row>
    <row r="182" spans="17:18" x14ac:dyDescent="0.2">
      <c r="Q182" s="5"/>
      <c r="R182"/>
    </row>
    <row r="183" spans="17:18" x14ac:dyDescent="0.2">
      <c r="Q183" s="5"/>
      <c r="R183"/>
    </row>
    <row r="184" spans="17:18" x14ac:dyDescent="0.2">
      <c r="Q184" s="5"/>
      <c r="R184"/>
    </row>
    <row r="185" spans="17:18" x14ac:dyDescent="0.2">
      <c r="Q185" s="5"/>
      <c r="R185"/>
    </row>
    <row r="186" spans="17:18" x14ac:dyDescent="0.2">
      <c r="Q186" s="5"/>
      <c r="R186"/>
    </row>
    <row r="187" spans="17:18" x14ac:dyDescent="0.2">
      <c r="Q187" s="5"/>
      <c r="R187"/>
    </row>
    <row r="188" spans="17:18" x14ac:dyDescent="0.2">
      <c r="Q188" s="5"/>
      <c r="R188"/>
    </row>
    <row r="189" spans="17:18" x14ac:dyDescent="0.2">
      <c r="Q189" s="5"/>
      <c r="R189"/>
    </row>
    <row r="190" spans="17:18" x14ac:dyDescent="0.2">
      <c r="Q190" s="5"/>
      <c r="R190"/>
    </row>
    <row r="191" spans="17:18" x14ac:dyDescent="0.2">
      <c r="Q191" s="5"/>
      <c r="R191"/>
    </row>
    <row r="192" spans="17:18" x14ac:dyDescent="0.2">
      <c r="Q192" s="5"/>
      <c r="R192"/>
    </row>
    <row r="193" spans="17:18" x14ac:dyDescent="0.2">
      <c r="Q193" s="5"/>
      <c r="R193"/>
    </row>
    <row r="194" spans="17:18" x14ac:dyDescent="0.2">
      <c r="Q194" s="5"/>
      <c r="R194"/>
    </row>
    <row r="195" spans="17:18" x14ac:dyDescent="0.2">
      <c r="Q195" s="5"/>
      <c r="R195"/>
    </row>
    <row r="196" spans="17:18" x14ac:dyDescent="0.2">
      <c r="Q196" s="5"/>
      <c r="R196"/>
    </row>
    <row r="197" spans="17:18" x14ac:dyDescent="0.2">
      <c r="Q197" s="5"/>
      <c r="R197"/>
    </row>
    <row r="198" spans="17:18" x14ac:dyDescent="0.2">
      <c r="Q198" s="5"/>
      <c r="R198"/>
    </row>
    <row r="199" spans="17:18" x14ac:dyDescent="0.2">
      <c r="Q199" s="5"/>
      <c r="R199"/>
    </row>
    <row r="200" spans="17:18" x14ac:dyDescent="0.2">
      <c r="Q200" s="5"/>
      <c r="R200"/>
    </row>
    <row r="201" spans="17:18" x14ac:dyDescent="0.2">
      <c r="Q201" s="5"/>
      <c r="R201"/>
    </row>
    <row r="202" spans="17:18" x14ac:dyDescent="0.2">
      <c r="Q202" s="5"/>
      <c r="R202"/>
    </row>
    <row r="203" spans="17:18" x14ac:dyDescent="0.2">
      <c r="Q203" s="5"/>
      <c r="R203"/>
    </row>
    <row r="204" spans="17:18" x14ac:dyDescent="0.2">
      <c r="Q204" s="5"/>
      <c r="R204"/>
    </row>
    <row r="205" spans="17:18" x14ac:dyDescent="0.2">
      <c r="Q205" s="5"/>
      <c r="R205"/>
    </row>
    <row r="206" spans="17:18" x14ac:dyDescent="0.2">
      <c r="Q206" s="5"/>
      <c r="R206"/>
    </row>
    <row r="207" spans="17:18" x14ac:dyDescent="0.2">
      <c r="Q207" s="5"/>
      <c r="R207"/>
    </row>
    <row r="208" spans="17:18" x14ac:dyDescent="0.2">
      <c r="Q208" s="5"/>
      <c r="R208"/>
    </row>
    <row r="209" spans="17:18" x14ac:dyDescent="0.2">
      <c r="Q209" s="5"/>
      <c r="R209"/>
    </row>
    <row r="210" spans="17:18" x14ac:dyDescent="0.2">
      <c r="Q210" s="5"/>
      <c r="R210"/>
    </row>
    <row r="211" spans="17:18" x14ac:dyDescent="0.2">
      <c r="Q211" s="5"/>
      <c r="R211"/>
    </row>
    <row r="212" spans="17:18" x14ac:dyDescent="0.2">
      <c r="Q212" s="5"/>
      <c r="R212"/>
    </row>
    <row r="213" spans="17:18" x14ac:dyDescent="0.2">
      <c r="Q213" s="5"/>
      <c r="R213"/>
    </row>
    <row r="214" spans="17:18" x14ac:dyDescent="0.2">
      <c r="Q214" s="5"/>
      <c r="R214"/>
    </row>
    <row r="215" spans="17:18" x14ac:dyDescent="0.2">
      <c r="Q215" s="5"/>
      <c r="R215"/>
    </row>
    <row r="216" spans="17:18" x14ac:dyDescent="0.2">
      <c r="Q216" s="5"/>
      <c r="R216"/>
    </row>
    <row r="217" spans="17:18" x14ac:dyDescent="0.2">
      <c r="Q217" s="5"/>
      <c r="R217"/>
    </row>
    <row r="218" spans="17:18" x14ac:dyDescent="0.2">
      <c r="Q218" s="5"/>
      <c r="R218"/>
    </row>
    <row r="219" spans="17:18" x14ac:dyDescent="0.2">
      <c r="Q219" s="5"/>
      <c r="R219"/>
    </row>
    <row r="220" spans="17:18" x14ac:dyDescent="0.2">
      <c r="Q220" s="5"/>
      <c r="R220"/>
    </row>
    <row r="221" spans="17:18" x14ac:dyDescent="0.2">
      <c r="Q221" s="5"/>
      <c r="R221"/>
    </row>
    <row r="222" spans="17:18" x14ac:dyDescent="0.2">
      <c r="Q222" s="5"/>
      <c r="R222"/>
    </row>
    <row r="223" spans="17:18" x14ac:dyDescent="0.2">
      <c r="Q223" s="5"/>
      <c r="R223"/>
    </row>
    <row r="224" spans="17:18" x14ac:dyDescent="0.2">
      <c r="Q224" s="5"/>
      <c r="R224"/>
    </row>
    <row r="225" spans="17:18" x14ac:dyDescent="0.2">
      <c r="Q225" s="5"/>
      <c r="R225"/>
    </row>
    <row r="226" spans="17:18" x14ac:dyDescent="0.2">
      <c r="Q226" s="5"/>
      <c r="R226"/>
    </row>
    <row r="227" spans="17:18" x14ac:dyDescent="0.2">
      <c r="Q227" s="5"/>
      <c r="R227"/>
    </row>
    <row r="228" spans="17:18" x14ac:dyDescent="0.2">
      <c r="Q228" s="5"/>
      <c r="R228"/>
    </row>
    <row r="229" spans="17:18" x14ac:dyDescent="0.2">
      <c r="Q229" s="5"/>
      <c r="R229"/>
    </row>
    <row r="230" spans="17:18" x14ac:dyDescent="0.2">
      <c r="Q230" s="5"/>
      <c r="R230"/>
    </row>
    <row r="231" spans="17:18" x14ac:dyDescent="0.2">
      <c r="Q231" s="5"/>
      <c r="R231"/>
    </row>
    <row r="232" spans="17:18" x14ac:dyDescent="0.2">
      <c r="Q232" s="5"/>
      <c r="R232"/>
    </row>
    <row r="233" spans="17:18" x14ac:dyDescent="0.2">
      <c r="Q233" s="5"/>
      <c r="R233"/>
    </row>
    <row r="234" spans="17:18" x14ac:dyDescent="0.2">
      <c r="Q234" s="5"/>
      <c r="R234"/>
    </row>
    <row r="235" spans="17:18" x14ac:dyDescent="0.2">
      <c r="Q235" s="5"/>
      <c r="R235"/>
    </row>
    <row r="236" spans="17:18" x14ac:dyDescent="0.2">
      <c r="Q236" s="5"/>
      <c r="R236"/>
    </row>
    <row r="237" spans="17:18" x14ac:dyDescent="0.2">
      <c r="Q237" s="5"/>
      <c r="R237"/>
    </row>
    <row r="238" spans="17:18" x14ac:dyDescent="0.2">
      <c r="Q238" s="5"/>
      <c r="R238"/>
    </row>
    <row r="239" spans="17:18" x14ac:dyDescent="0.2">
      <c r="Q239" s="5"/>
      <c r="R239"/>
    </row>
    <row r="240" spans="17:18" x14ac:dyDescent="0.2">
      <c r="Q240" s="5"/>
      <c r="R240"/>
    </row>
    <row r="241" spans="17:18" x14ac:dyDescent="0.2">
      <c r="Q241" s="5"/>
      <c r="R241"/>
    </row>
    <row r="242" spans="17:18" x14ac:dyDescent="0.2">
      <c r="Q242" s="5"/>
      <c r="R242"/>
    </row>
    <row r="243" spans="17:18" x14ac:dyDescent="0.2">
      <c r="Q243" s="5"/>
      <c r="R243"/>
    </row>
    <row r="244" spans="17:18" x14ac:dyDescent="0.2">
      <c r="Q244" s="5"/>
      <c r="R244"/>
    </row>
    <row r="245" spans="17:18" x14ac:dyDescent="0.2">
      <c r="Q245" s="5"/>
      <c r="R245"/>
    </row>
    <row r="246" spans="17:18" x14ac:dyDescent="0.2">
      <c r="Q246" s="5"/>
      <c r="R246"/>
    </row>
    <row r="247" spans="17:18" x14ac:dyDescent="0.2">
      <c r="Q247" s="5"/>
      <c r="R247"/>
    </row>
    <row r="248" spans="17:18" x14ac:dyDescent="0.2">
      <c r="Q248" s="5"/>
      <c r="R248"/>
    </row>
    <row r="249" spans="17:18" x14ac:dyDescent="0.2">
      <c r="Q249" s="5"/>
      <c r="R249"/>
    </row>
    <row r="250" spans="17:18" x14ac:dyDescent="0.2">
      <c r="Q250" s="5"/>
      <c r="R250"/>
    </row>
    <row r="251" spans="17:18" x14ac:dyDescent="0.2">
      <c r="Q251" s="5"/>
      <c r="R251"/>
    </row>
    <row r="252" spans="17:18" x14ac:dyDescent="0.2">
      <c r="Q252" s="5"/>
      <c r="R252"/>
    </row>
    <row r="253" spans="17:18" x14ac:dyDescent="0.2">
      <c r="Q253" s="5"/>
      <c r="R253"/>
    </row>
    <row r="254" spans="17:18" x14ac:dyDescent="0.2">
      <c r="Q254" s="5"/>
      <c r="R254"/>
    </row>
    <row r="255" spans="17:18" x14ac:dyDescent="0.2">
      <c r="Q255" s="5"/>
      <c r="R255"/>
    </row>
    <row r="256" spans="17:18" x14ac:dyDescent="0.2">
      <c r="Q256" s="5"/>
      <c r="R256"/>
    </row>
    <row r="257" spans="17:18" x14ac:dyDescent="0.2">
      <c r="Q257" s="5"/>
      <c r="R257"/>
    </row>
    <row r="258" spans="17:18" x14ac:dyDescent="0.2">
      <c r="Q258" s="5"/>
      <c r="R258"/>
    </row>
    <row r="259" spans="17:18" x14ac:dyDescent="0.2">
      <c r="Q259" s="5"/>
      <c r="R259"/>
    </row>
    <row r="260" spans="17:18" x14ac:dyDescent="0.2">
      <c r="Q260" s="5"/>
      <c r="R260"/>
    </row>
    <row r="261" spans="17:18" x14ac:dyDescent="0.2">
      <c r="Q261" s="5"/>
      <c r="R261"/>
    </row>
    <row r="262" spans="17:18" x14ac:dyDescent="0.2">
      <c r="Q262" s="5"/>
      <c r="R262"/>
    </row>
    <row r="263" spans="17:18" x14ac:dyDescent="0.2">
      <c r="Q263" s="5"/>
      <c r="R263"/>
    </row>
    <row r="264" spans="17:18" x14ac:dyDescent="0.2">
      <c r="Q264" s="5"/>
      <c r="R264"/>
    </row>
    <row r="265" spans="17:18" x14ac:dyDescent="0.2">
      <c r="Q265" s="5"/>
      <c r="R265"/>
    </row>
    <row r="266" spans="17:18" x14ac:dyDescent="0.2">
      <c r="Q266" s="5"/>
      <c r="R266"/>
    </row>
    <row r="267" spans="17:18" x14ac:dyDescent="0.2">
      <c r="Q267" s="5"/>
      <c r="R267"/>
    </row>
    <row r="268" spans="17:18" x14ac:dyDescent="0.2">
      <c r="Q268" s="5"/>
      <c r="R268"/>
    </row>
    <row r="269" spans="17:18" x14ac:dyDescent="0.2">
      <c r="Q269" s="5"/>
      <c r="R269"/>
    </row>
    <row r="270" spans="17:18" x14ac:dyDescent="0.2">
      <c r="Q270" s="5"/>
      <c r="R270"/>
    </row>
    <row r="271" spans="17:18" x14ac:dyDescent="0.2">
      <c r="Q271" s="5"/>
      <c r="R271"/>
    </row>
    <row r="272" spans="17:18" x14ac:dyDescent="0.2">
      <c r="Q272" s="5"/>
      <c r="R272"/>
    </row>
    <row r="273" spans="17:18" x14ac:dyDescent="0.2">
      <c r="Q273" s="5"/>
      <c r="R273"/>
    </row>
    <row r="274" spans="17:18" x14ac:dyDescent="0.2">
      <c r="Q274" s="5"/>
      <c r="R274"/>
    </row>
    <row r="275" spans="17:18" x14ac:dyDescent="0.2">
      <c r="Q275" s="5"/>
      <c r="R275"/>
    </row>
    <row r="276" spans="17:18" x14ac:dyDescent="0.2">
      <c r="Q276" s="5"/>
      <c r="R276"/>
    </row>
    <row r="277" spans="17:18" x14ac:dyDescent="0.2">
      <c r="Q277" s="5"/>
      <c r="R277"/>
    </row>
    <row r="278" spans="17:18" x14ac:dyDescent="0.2">
      <c r="Q278" s="5"/>
      <c r="R278"/>
    </row>
    <row r="279" spans="17:18" x14ac:dyDescent="0.2">
      <c r="Q279" s="5"/>
      <c r="R279"/>
    </row>
    <row r="280" spans="17:18" x14ac:dyDescent="0.2">
      <c r="Q280" s="5"/>
      <c r="R280"/>
    </row>
    <row r="281" spans="17:18" x14ac:dyDescent="0.2">
      <c r="Q281" s="5"/>
      <c r="R281"/>
    </row>
    <row r="282" spans="17:18" x14ac:dyDescent="0.2">
      <c r="Q282" s="5"/>
      <c r="R282"/>
    </row>
    <row r="283" spans="17:18" x14ac:dyDescent="0.2">
      <c r="Q283" s="5"/>
      <c r="R283"/>
    </row>
    <row r="284" spans="17:18" x14ac:dyDescent="0.2">
      <c r="Q284" s="5"/>
      <c r="R284"/>
    </row>
    <row r="285" spans="17:18" x14ac:dyDescent="0.2">
      <c r="Q285" s="5"/>
      <c r="R285"/>
    </row>
    <row r="286" spans="17:18" x14ac:dyDescent="0.2">
      <c r="Q286" s="5"/>
      <c r="R286"/>
    </row>
    <row r="287" spans="17:18" x14ac:dyDescent="0.2">
      <c r="Q287" s="5"/>
      <c r="R287"/>
    </row>
    <row r="288" spans="17:18" x14ac:dyDescent="0.2">
      <c r="Q288" s="5"/>
      <c r="R288"/>
    </row>
    <row r="289" spans="17:18" x14ac:dyDescent="0.2">
      <c r="Q289" s="5"/>
      <c r="R289"/>
    </row>
    <row r="290" spans="17:18" x14ac:dyDescent="0.2">
      <c r="Q290" s="5"/>
      <c r="R290"/>
    </row>
    <row r="291" spans="17:18" x14ac:dyDescent="0.2">
      <c r="Q291" s="5"/>
      <c r="R291"/>
    </row>
    <row r="292" spans="17:18" x14ac:dyDescent="0.2">
      <c r="Q292" s="5"/>
      <c r="R292"/>
    </row>
    <row r="293" spans="17:18" x14ac:dyDescent="0.2">
      <c r="Q293" s="5"/>
      <c r="R293"/>
    </row>
    <row r="294" spans="17:18" x14ac:dyDescent="0.2">
      <c r="Q294" s="5"/>
      <c r="R294"/>
    </row>
    <row r="295" spans="17:18" x14ac:dyDescent="0.2">
      <c r="Q295" s="5"/>
      <c r="R295"/>
    </row>
    <row r="296" spans="17:18" x14ac:dyDescent="0.2">
      <c r="Q296" s="5"/>
      <c r="R296"/>
    </row>
    <row r="297" spans="17:18" x14ac:dyDescent="0.2">
      <c r="Q297" s="5"/>
      <c r="R297"/>
    </row>
    <row r="298" spans="17:18" x14ac:dyDescent="0.2">
      <c r="Q298" s="5"/>
      <c r="R298"/>
    </row>
    <row r="299" spans="17:18" x14ac:dyDescent="0.2">
      <c r="Q299" s="5"/>
      <c r="R299"/>
    </row>
    <row r="300" spans="17:18" x14ac:dyDescent="0.2">
      <c r="Q300" s="5"/>
      <c r="R300"/>
    </row>
    <row r="301" spans="17:18" x14ac:dyDescent="0.2">
      <c r="Q301" s="5"/>
      <c r="R301"/>
    </row>
    <row r="302" spans="17:18" x14ac:dyDescent="0.2">
      <c r="Q302" s="5"/>
      <c r="R302"/>
    </row>
    <row r="303" spans="17:18" x14ac:dyDescent="0.2">
      <c r="Q303" s="5"/>
      <c r="R303"/>
    </row>
    <row r="304" spans="17:18" x14ac:dyDescent="0.2">
      <c r="Q304" s="5"/>
      <c r="R304"/>
    </row>
    <row r="305" spans="17:18" x14ac:dyDescent="0.2">
      <c r="Q305" s="5"/>
      <c r="R305"/>
    </row>
    <row r="306" spans="17:18" x14ac:dyDescent="0.2">
      <c r="Q306" s="5"/>
      <c r="R306"/>
    </row>
    <row r="307" spans="17:18" x14ac:dyDescent="0.2">
      <c r="Q307" s="5"/>
      <c r="R307"/>
    </row>
    <row r="308" spans="17:18" x14ac:dyDescent="0.2">
      <c r="Q308" s="5"/>
      <c r="R308"/>
    </row>
    <row r="309" spans="17:18" x14ac:dyDescent="0.2">
      <c r="Q309" s="5"/>
      <c r="R309"/>
    </row>
    <row r="310" spans="17:18" x14ac:dyDescent="0.2">
      <c r="Q310" s="5"/>
      <c r="R310"/>
    </row>
    <row r="311" spans="17:18" x14ac:dyDescent="0.2">
      <c r="Q311" s="5"/>
      <c r="R311"/>
    </row>
    <row r="312" spans="17:18" x14ac:dyDescent="0.2">
      <c r="Q312" s="5"/>
      <c r="R312"/>
    </row>
    <row r="313" spans="17:18" x14ac:dyDescent="0.2">
      <c r="Q313" s="5"/>
      <c r="R313"/>
    </row>
    <row r="314" spans="17:18" x14ac:dyDescent="0.2">
      <c r="Q314" s="5"/>
      <c r="R314"/>
    </row>
    <row r="315" spans="17:18" x14ac:dyDescent="0.2">
      <c r="Q315" s="5"/>
      <c r="R315"/>
    </row>
    <row r="316" spans="17:18" x14ac:dyDescent="0.2">
      <c r="Q316" s="5"/>
      <c r="R316"/>
    </row>
    <row r="317" spans="17:18" x14ac:dyDescent="0.2">
      <c r="Q317" s="5"/>
      <c r="R317"/>
    </row>
    <row r="318" spans="17:18" x14ac:dyDescent="0.2">
      <c r="Q318" s="5"/>
      <c r="R318"/>
    </row>
    <row r="319" spans="17:18" x14ac:dyDescent="0.2">
      <c r="Q319" s="5"/>
      <c r="R319"/>
    </row>
    <row r="320" spans="17:18" x14ac:dyDescent="0.2">
      <c r="Q320" s="5"/>
      <c r="R320"/>
    </row>
    <row r="321" spans="17:18" x14ac:dyDescent="0.2">
      <c r="Q321" s="5"/>
      <c r="R321"/>
    </row>
    <row r="322" spans="17:18" x14ac:dyDescent="0.2">
      <c r="Q322" s="5"/>
      <c r="R322"/>
    </row>
    <row r="323" spans="17:18" x14ac:dyDescent="0.2">
      <c r="Q323" s="5"/>
      <c r="R323"/>
    </row>
    <row r="324" spans="17:18" x14ac:dyDescent="0.2">
      <c r="Q324" s="5"/>
      <c r="R324"/>
    </row>
    <row r="325" spans="17:18" x14ac:dyDescent="0.2">
      <c r="Q325" s="5"/>
      <c r="R325"/>
    </row>
    <row r="326" spans="17:18" x14ac:dyDescent="0.2">
      <c r="Q326" s="5"/>
      <c r="R326"/>
    </row>
    <row r="327" spans="17:18" x14ac:dyDescent="0.2">
      <c r="Q327" s="5"/>
      <c r="R327"/>
    </row>
    <row r="328" spans="17:18" x14ac:dyDescent="0.2">
      <c r="Q328" s="5"/>
      <c r="R328"/>
    </row>
    <row r="329" spans="17:18" x14ac:dyDescent="0.2">
      <c r="Q329" s="5"/>
      <c r="R329"/>
    </row>
    <row r="330" spans="17:18" x14ac:dyDescent="0.2">
      <c r="Q330" s="5"/>
      <c r="R330"/>
    </row>
    <row r="331" spans="17:18" x14ac:dyDescent="0.2">
      <c r="Q331" s="5"/>
      <c r="R331"/>
    </row>
    <row r="332" spans="17:18" x14ac:dyDescent="0.2">
      <c r="Q332" s="5"/>
      <c r="R332"/>
    </row>
    <row r="333" spans="17:18" x14ac:dyDescent="0.2">
      <c r="Q333" s="5"/>
      <c r="R333"/>
    </row>
    <row r="334" spans="17:18" x14ac:dyDescent="0.2">
      <c r="Q334" s="5"/>
      <c r="R334"/>
    </row>
    <row r="335" spans="17:18" x14ac:dyDescent="0.2">
      <c r="Q335" s="5"/>
      <c r="R335"/>
    </row>
    <row r="336" spans="17:18" x14ac:dyDescent="0.2">
      <c r="Q336" s="5"/>
      <c r="R336"/>
    </row>
    <row r="337" spans="17:18" x14ac:dyDescent="0.2">
      <c r="Q337" s="5"/>
      <c r="R337"/>
    </row>
    <row r="338" spans="17:18" x14ac:dyDescent="0.2">
      <c r="Q338" s="5"/>
      <c r="R338"/>
    </row>
    <row r="339" spans="17:18" x14ac:dyDescent="0.2">
      <c r="Q339" s="5"/>
      <c r="R339"/>
    </row>
    <row r="340" spans="17:18" x14ac:dyDescent="0.2">
      <c r="Q340" s="5"/>
      <c r="R340"/>
    </row>
    <row r="341" spans="17:18" x14ac:dyDescent="0.2">
      <c r="Q341" s="5"/>
      <c r="R341"/>
    </row>
    <row r="342" spans="17:18" x14ac:dyDescent="0.2">
      <c r="Q342" s="5"/>
      <c r="R342"/>
    </row>
    <row r="343" spans="17:18" x14ac:dyDescent="0.2">
      <c r="Q343" s="5"/>
      <c r="R343"/>
    </row>
    <row r="344" spans="17:18" x14ac:dyDescent="0.2">
      <c r="Q344" s="5"/>
      <c r="R344"/>
    </row>
    <row r="345" spans="17:18" x14ac:dyDescent="0.2">
      <c r="Q345" s="5"/>
      <c r="R345"/>
    </row>
    <row r="346" spans="17:18" x14ac:dyDescent="0.2">
      <c r="Q346" s="5"/>
      <c r="R346"/>
    </row>
    <row r="347" spans="17:18" x14ac:dyDescent="0.2">
      <c r="Q347" s="5"/>
      <c r="R347"/>
    </row>
    <row r="348" spans="17:18" x14ac:dyDescent="0.2">
      <c r="Q348" s="5"/>
      <c r="R348"/>
    </row>
    <row r="349" spans="17:18" x14ac:dyDescent="0.2">
      <c r="Q349" s="5"/>
      <c r="R349"/>
    </row>
    <row r="350" spans="17:18" x14ac:dyDescent="0.2">
      <c r="Q350" s="5"/>
      <c r="R350"/>
    </row>
    <row r="351" spans="17:18" x14ac:dyDescent="0.2">
      <c r="Q351" s="5"/>
      <c r="R351"/>
    </row>
    <row r="352" spans="17:18" x14ac:dyDescent="0.2">
      <c r="Q352" s="5"/>
      <c r="R352"/>
    </row>
    <row r="353" spans="17:18" x14ac:dyDescent="0.2">
      <c r="Q353" s="5"/>
      <c r="R353"/>
    </row>
    <row r="354" spans="17:18" x14ac:dyDescent="0.2">
      <c r="Q354" s="5"/>
      <c r="R354"/>
    </row>
    <row r="355" spans="17:18" x14ac:dyDescent="0.2">
      <c r="Q355" s="5"/>
      <c r="R355"/>
    </row>
    <row r="356" spans="17:18" x14ac:dyDescent="0.2">
      <c r="Q356" s="5"/>
      <c r="R356"/>
    </row>
    <row r="357" spans="17:18" x14ac:dyDescent="0.2">
      <c r="Q357" s="5"/>
      <c r="R357"/>
    </row>
    <row r="358" spans="17:18" x14ac:dyDescent="0.2">
      <c r="Q358" s="5"/>
      <c r="R358"/>
    </row>
    <row r="359" spans="17:18" x14ac:dyDescent="0.2">
      <c r="Q359" s="5"/>
      <c r="R359"/>
    </row>
    <row r="360" spans="17:18" x14ac:dyDescent="0.2">
      <c r="Q360" s="5"/>
      <c r="R360"/>
    </row>
    <row r="361" spans="17:18" x14ac:dyDescent="0.2">
      <c r="Q361" s="5"/>
      <c r="R361"/>
    </row>
    <row r="362" spans="17:18" x14ac:dyDescent="0.2">
      <c r="Q362" s="5"/>
      <c r="R362"/>
    </row>
    <row r="363" spans="17:18" x14ac:dyDescent="0.2">
      <c r="Q363" s="5"/>
      <c r="R363"/>
    </row>
    <row r="364" spans="17:18" x14ac:dyDescent="0.2">
      <c r="Q364" s="5"/>
      <c r="R364"/>
    </row>
    <row r="365" spans="17:18" x14ac:dyDescent="0.2">
      <c r="Q365" s="5"/>
      <c r="R365"/>
    </row>
    <row r="366" spans="17:18" x14ac:dyDescent="0.2">
      <c r="Q366" s="5"/>
      <c r="R366"/>
    </row>
    <row r="367" spans="17:18" x14ac:dyDescent="0.2">
      <c r="Q367" s="5"/>
      <c r="R367"/>
    </row>
    <row r="368" spans="17:18" x14ac:dyDescent="0.2">
      <c r="Q368" s="5"/>
      <c r="R368"/>
    </row>
    <row r="369" spans="17:18" x14ac:dyDescent="0.2">
      <c r="Q369" s="5"/>
      <c r="R369"/>
    </row>
    <row r="370" spans="17:18" x14ac:dyDescent="0.2">
      <c r="Q370" s="5"/>
      <c r="R370"/>
    </row>
    <row r="371" spans="17:18" x14ac:dyDescent="0.2">
      <c r="Q371" s="5"/>
      <c r="R371"/>
    </row>
    <row r="372" spans="17:18" x14ac:dyDescent="0.2">
      <c r="Q372" s="5"/>
      <c r="R372"/>
    </row>
    <row r="373" spans="17:18" x14ac:dyDescent="0.2">
      <c r="Q373" s="5"/>
      <c r="R373"/>
    </row>
    <row r="374" spans="17:18" x14ac:dyDescent="0.2">
      <c r="Q374" s="5"/>
      <c r="R374"/>
    </row>
    <row r="375" spans="17:18" x14ac:dyDescent="0.2">
      <c r="Q375" s="5"/>
      <c r="R375"/>
    </row>
    <row r="376" spans="17:18" x14ac:dyDescent="0.2">
      <c r="Q376" s="5"/>
      <c r="R376"/>
    </row>
    <row r="377" spans="17:18" x14ac:dyDescent="0.2">
      <c r="Q377" s="5"/>
      <c r="R377"/>
    </row>
    <row r="378" spans="17:18" x14ac:dyDescent="0.2">
      <c r="Q378" s="5"/>
      <c r="R378"/>
    </row>
    <row r="379" spans="17:18" x14ac:dyDescent="0.2">
      <c r="Q379" s="5"/>
      <c r="R379"/>
    </row>
    <row r="380" spans="17:18" x14ac:dyDescent="0.2">
      <c r="Q380" s="5"/>
      <c r="R380"/>
    </row>
    <row r="381" spans="17:18" x14ac:dyDescent="0.2">
      <c r="Q381" s="5"/>
      <c r="R381"/>
    </row>
    <row r="382" spans="17:18" x14ac:dyDescent="0.2">
      <c r="Q382" s="5"/>
      <c r="R382"/>
    </row>
    <row r="383" spans="17:18" x14ac:dyDescent="0.2">
      <c r="Q383" s="5"/>
      <c r="R383"/>
    </row>
    <row r="384" spans="17:18" x14ac:dyDescent="0.2">
      <c r="Q384" s="5"/>
      <c r="R384"/>
    </row>
    <row r="385" spans="17:18" x14ac:dyDescent="0.2">
      <c r="Q385" s="5"/>
      <c r="R385"/>
    </row>
    <row r="386" spans="17:18" x14ac:dyDescent="0.2">
      <c r="Q386" s="5"/>
      <c r="R386"/>
    </row>
    <row r="387" spans="17:18" x14ac:dyDescent="0.2">
      <c r="Q387" s="5"/>
      <c r="R387"/>
    </row>
    <row r="388" spans="17:18" x14ac:dyDescent="0.2">
      <c r="Q388" s="5"/>
      <c r="R388"/>
    </row>
    <row r="389" spans="17:18" x14ac:dyDescent="0.2">
      <c r="Q389" s="5"/>
      <c r="R389"/>
    </row>
    <row r="390" spans="17:18" x14ac:dyDescent="0.2">
      <c r="Q390" s="5"/>
      <c r="R390"/>
    </row>
    <row r="391" spans="17:18" x14ac:dyDescent="0.2">
      <c r="Q391" s="5"/>
      <c r="R391"/>
    </row>
    <row r="392" spans="17:18" x14ac:dyDescent="0.2">
      <c r="Q392" s="5"/>
      <c r="R392"/>
    </row>
    <row r="393" spans="17:18" x14ac:dyDescent="0.2">
      <c r="Q393" s="5"/>
      <c r="R393"/>
    </row>
    <row r="394" spans="17:18" x14ac:dyDescent="0.2">
      <c r="Q394" s="5"/>
      <c r="R394"/>
    </row>
    <row r="395" spans="17:18" x14ac:dyDescent="0.2">
      <c r="Q395" s="5"/>
      <c r="R395"/>
    </row>
    <row r="396" spans="17:18" x14ac:dyDescent="0.2">
      <c r="Q396" s="5"/>
      <c r="R396"/>
    </row>
    <row r="397" spans="17:18" x14ac:dyDescent="0.2">
      <c r="Q397" s="5"/>
      <c r="R397"/>
    </row>
    <row r="398" spans="17:18" x14ac:dyDescent="0.2">
      <c r="Q398" s="5"/>
      <c r="R398"/>
    </row>
    <row r="399" spans="17:18" x14ac:dyDescent="0.2">
      <c r="Q399" s="5"/>
      <c r="R399"/>
    </row>
    <row r="400" spans="17:18" x14ac:dyDescent="0.2">
      <c r="Q400" s="5"/>
      <c r="R400"/>
    </row>
    <row r="401" spans="17:18" x14ac:dyDescent="0.2">
      <c r="Q401" s="5"/>
      <c r="R401"/>
    </row>
    <row r="402" spans="17:18" x14ac:dyDescent="0.2">
      <c r="Q402" s="5"/>
      <c r="R402"/>
    </row>
    <row r="403" spans="17:18" x14ac:dyDescent="0.2">
      <c r="Q403" s="5"/>
      <c r="R403"/>
    </row>
    <row r="404" spans="17:18" x14ac:dyDescent="0.2">
      <c r="Q404" s="5"/>
      <c r="R404"/>
    </row>
    <row r="405" spans="17:18" x14ac:dyDescent="0.2">
      <c r="Q405" s="5"/>
      <c r="R405"/>
    </row>
    <row r="406" spans="17:18" x14ac:dyDescent="0.2">
      <c r="Q406" s="5"/>
      <c r="R406"/>
    </row>
    <row r="407" spans="17:18" x14ac:dyDescent="0.2">
      <c r="Q407" s="5"/>
      <c r="R407"/>
    </row>
    <row r="408" spans="17:18" x14ac:dyDescent="0.2">
      <c r="Q408" s="5"/>
      <c r="R408"/>
    </row>
    <row r="409" spans="17:18" x14ac:dyDescent="0.2">
      <c r="Q409" s="5"/>
      <c r="R409"/>
    </row>
    <row r="410" spans="17:18" x14ac:dyDescent="0.2">
      <c r="Q410" s="5"/>
      <c r="R410"/>
    </row>
    <row r="411" spans="17:18" x14ac:dyDescent="0.2">
      <c r="Q411" s="5"/>
      <c r="R411"/>
    </row>
    <row r="412" spans="17:18" x14ac:dyDescent="0.2">
      <c r="Q412" s="5"/>
      <c r="R412"/>
    </row>
    <row r="413" spans="17:18" x14ac:dyDescent="0.2">
      <c r="Q413" s="5"/>
      <c r="R413"/>
    </row>
    <row r="414" spans="17:18" x14ac:dyDescent="0.2">
      <c r="Q414" s="5"/>
      <c r="R414"/>
    </row>
    <row r="415" spans="17:18" x14ac:dyDescent="0.2">
      <c r="Q415" s="5"/>
      <c r="R415"/>
    </row>
    <row r="416" spans="17:18" x14ac:dyDescent="0.2">
      <c r="Q416" s="5"/>
      <c r="R416"/>
    </row>
    <row r="417" spans="17:18" x14ac:dyDescent="0.2">
      <c r="Q417" s="5"/>
      <c r="R417"/>
    </row>
    <row r="418" spans="17:18" x14ac:dyDescent="0.2">
      <c r="Q418" s="5"/>
      <c r="R418"/>
    </row>
    <row r="419" spans="17:18" x14ac:dyDescent="0.2">
      <c r="Q419" s="5"/>
      <c r="R419"/>
    </row>
    <row r="420" spans="17:18" x14ac:dyDescent="0.2">
      <c r="Q420" s="5"/>
      <c r="R420"/>
    </row>
    <row r="421" spans="17:18" x14ac:dyDescent="0.2">
      <c r="Q421" s="5"/>
      <c r="R421"/>
    </row>
    <row r="422" spans="17:18" x14ac:dyDescent="0.2">
      <c r="Q422" s="5"/>
      <c r="R422"/>
    </row>
    <row r="423" spans="17:18" x14ac:dyDescent="0.2">
      <c r="Q423" s="5"/>
      <c r="R423"/>
    </row>
    <row r="424" spans="17:18" x14ac:dyDescent="0.2">
      <c r="Q424" s="5"/>
      <c r="R424"/>
    </row>
    <row r="425" spans="17:18" x14ac:dyDescent="0.2">
      <c r="Q425" s="5"/>
      <c r="R425"/>
    </row>
    <row r="426" spans="17:18" x14ac:dyDescent="0.2">
      <c r="Q426" s="5"/>
      <c r="R426"/>
    </row>
    <row r="427" spans="17:18" x14ac:dyDescent="0.2">
      <c r="Q427" s="5"/>
      <c r="R427"/>
    </row>
    <row r="428" spans="17:18" x14ac:dyDescent="0.2">
      <c r="Q428" s="5"/>
      <c r="R428"/>
    </row>
    <row r="429" spans="17:18" x14ac:dyDescent="0.2">
      <c r="Q429" s="5"/>
      <c r="R429"/>
    </row>
    <row r="430" spans="17:18" x14ac:dyDescent="0.2">
      <c r="Q430" s="5"/>
      <c r="R430"/>
    </row>
    <row r="431" spans="17:18" x14ac:dyDescent="0.2">
      <c r="Q431" s="5"/>
      <c r="R431"/>
    </row>
    <row r="432" spans="17:18" x14ac:dyDescent="0.2">
      <c r="Q432" s="5"/>
      <c r="R432"/>
    </row>
    <row r="433" spans="17:18" x14ac:dyDescent="0.2">
      <c r="Q433" s="5"/>
      <c r="R433"/>
    </row>
    <row r="434" spans="17:18" x14ac:dyDescent="0.2">
      <c r="Q434" s="5"/>
      <c r="R434"/>
    </row>
    <row r="435" spans="17:18" x14ac:dyDescent="0.2">
      <c r="Q435" s="5"/>
      <c r="R435"/>
    </row>
    <row r="436" spans="17:18" x14ac:dyDescent="0.2">
      <c r="Q436" s="5"/>
      <c r="R436"/>
    </row>
    <row r="437" spans="17:18" x14ac:dyDescent="0.2">
      <c r="Q437" s="5"/>
      <c r="R437"/>
    </row>
    <row r="438" spans="17:18" x14ac:dyDescent="0.2">
      <c r="Q438" s="5"/>
      <c r="R438"/>
    </row>
    <row r="439" spans="17:18" x14ac:dyDescent="0.2">
      <c r="Q439" s="5"/>
      <c r="R439"/>
    </row>
    <row r="440" spans="17:18" x14ac:dyDescent="0.2">
      <c r="Q440" s="5"/>
      <c r="R440"/>
    </row>
    <row r="441" spans="17:18" x14ac:dyDescent="0.2">
      <c r="Q441" s="5"/>
      <c r="R441"/>
    </row>
    <row r="442" spans="17:18" x14ac:dyDescent="0.2">
      <c r="Q442" s="5"/>
      <c r="R442"/>
    </row>
    <row r="443" spans="17:18" x14ac:dyDescent="0.2">
      <c r="Q443" s="5"/>
      <c r="R443"/>
    </row>
    <row r="444" spans="17:18" x14ac:dyDescent="0.2">
      <c r="Q444" s="5"/>
      <c r="R444"/>
    </row>
    <row r="445" spans="17:18" x14ac:dyDescent="0.2">
      <c r="Q445" s="5"/>
      <c r="R445"/>
    </row>
    <row r="446" spans="17:18" x14ac:dyDescent="0.2">
      <c r="Q446" s="5"/>
      <c r="R446"/>
    </row>
    <row r="447" spans="17:18" x14ac:dyDescent="0.2">
      <c r="Q447" s="5"/>
      <c r="R447"/>
    </row>
    <row r="448" spans="17:18" x14ac:dyDescent="0.2">
      <c r="Q448" s="5"/>
      <c r="R448"/>
    </row>
    <row r="449" spans="17:18" x14ac:dyDescent="0.2">
      <c r="Q449" s="5"/>
      <c r="R449"/>
    </row>
    <row r="450" spans="17:18" x14ac:dyDescent="0.2">
      <c r="Q450" s="5"/>
      <c r="R450"/>
    </row>
    <row r="451" spans="17:18" x14ac:dyDescent="0.2">
      <c r="Q451" s="5"/>
      <c r="R451"/>
    </row>
    <row r="452" spans="17:18" x14ac:dyDescent="0.2">
      <c r="Q452" s="5"/>
      <c r="R452"/>
    </row>
    <row r="453" spans="17:18" x14ac:dyDescent="0.2">
      <c r="Q453" s="5"/>
      <c r="R453"/>
    </row>
    <row r="454" spans="17:18" x14ac:dyDescent="0.2">
      <c r="Q454" s="5"/>
      <c r="R454"/>
    </row>
    <row r="455" spans="17:18" x14ac:dyDescent="0.2">
      <c r="Q455" s="5"/>
      <c r="R455"/>
    </row>
    <row r="456" spans="17:18" x14ac:dyDescent="0.2">
      <c r="Q456" s="5"/>
      <c r="R456"/>
    </row>
    <row r="457" spans="17:18" x14ac:dyDescent="0.2">
      <c r="Q457" s="5"/>
      <c r="R457"/>
    </row>
    <row r="458" spans="17:18" x14ac:dyDescent="0.2">
      <c r="Q458" s="5"/>
      <c r="R458"/>
    </row>
    <row r="459" spans="17:18" x14ac:dyDescent="0.2">
      <c r="Q459" s="5"/>
      <c r="R459"/>
    </row>
    <row r="460" spans="17:18" x14ac:dyDescent="0.2">
      <c r="Q460" s="5"/>
      <c r="R460"/>
    </row>
    <row r="461" spans="17:18" x14ac:dyDescent="0.2">
      <c r="Q461" s="5"/>
      <c r="R461"/>
    </row>
    <row r="462" spans="17:18" x14ac:dyDescent="0.2">
      <c r="Q462" s="5"/>
      <c r="R462"/>
    </row>
    <row r="463" spans="17:18" x14ac:dyDescent="0.2">
      <c r="Q463" s="5"/>
      <c r="R463"/>
    </row>
    <row r="464" spans="17:18" x14ac:dyDescent="0.2">
      <c r="Q464" s="5"/>
      <c r="R464"/>
    </row>
    <row r="465" spans="17:18" x14ac:dyDescent="0.2">
      <c r="Q465" s="5"/>
      <c r="R465"/>
    </row>
    <row r="466" spans="17:18" x14ac:dyDescent="0.2">
      <c r="Q466" s="5"/>
      <c r="R466"/>
    </row>
    <row r="467" spans="17:18" x14ac:dyDescent="0.2">
      <c r="Q467" s="5"/>
      <c r="R467"/>
    </row>
    <row r="468" spans="17:18" x14ac:dyDescent="0.2">
      <c r="Q468" s="5"/>
      <c r="R468"/>
    </row>
    <row r="469" spans="17:18" x14ac:dyDescent="0.2">
      <c r="Q469" s="5"/>
      <c r="R469"/>
    </row>
    <row r="470" spans="17:18" x14ac:dyDescent="0.2">
      <c r="Q470" s="5"/>
      <c r="R470"/>
    </row>
    <row r="471" spans="17:18" x14ac:dyDescent="0.2">
      <c r="Q471" s="5"/>
      <c r="R471"/>
    </row>
    <row r="472" spans="17:18" x14ac:dyDescent="0.2">
      <c r="Q472" s="5"/>
      <c r="R472"/>
    </row>
    <row r="473" spans="17:18" x14ac:dyDescent="0.2">
      <c r="Q473" s="5"/>
      <c r="R473"/>
    </row>
    <row r="474" spans="17:18" x14ac:dyDescent="0.2">
      <c r="Q474" s="5"/>
      <c r="R474"/>
    </row>
    <row r="475" spans="17:18" x14ac:dyDescent="0.2">
      <c r="Q475" s="5"/>
      <c r="R475"/>
    </row>
    <row r="476" spans="17:18" x14ac:dyDescent="0.2">
      <c r="Q476" s="5"/>
      <c r="R476"/>
    </row>
    <row r="477" spans="17:18" x14ac:dyDescent="0.2">
      <c r="Q477" s="5"/>
      <c r="R477"/>
    </row>
    <row r="478" spans="17:18" x14ac:dyDescent="0.2">
      <c r="Q478" s="5"/>
      <c r="R478"/>
    </row>
    <row r="479" spans="17:18" x14ac:dyDescent="0.2">
      <c r="Q479" s="5"/>
      <c r="R479"/>
    </row>
    <row r="480" spans="17:18" x14ac:dyDescent="0.2">
      <c r="Q480" s="5"/>
      <c r="R480"/>
    </row>
    <row r="481" spans="17:18" x14ac:dyDescent="0.2">
      <c r="Q481" s="5"/>
      <c r="R481"/>
    </row>
    <row r="482" spans="17:18" x14ac:dyDescent="0.2">
      <c r="Q482" s="5"/>
      <c r="R482"/>
    </row>
    <row r="483" spans="17:18" x14ac:dyDescent="0.2">
      <c r="Q483" s="5"/>
      <c r="R483"/>
    </row>
    <row r="484" spans="17:18" x14ac:dyDescent="0.2">
      <c r="Q484" s="5"/>
      <c r="R484"/>
    </row>
    <row r="485" spans="17:18" x14ac:dyDescent="0.2">
      <c r="Q485" s="5"/>
      <c r="R485"/>
    </row>
    <row r="486" spans="17:18" x14ac:dyDescent="0.2">
      <c r="Q486" s="5"/>
      <c r="R486"/>
    </row>
    <row r="487" spans="17:18" x14ac:dyDescent="0.2">
      <c r="Q487" s="5"/>
      <c r="R487"/>
    </row>
    <row r="488" spans="17:18" x14ac:dyDescent="0.2">
      <c r="Q488" s="5"/>
      <c r="R488"/>
    </row>
    <row r="489" spans="17:18" x14ac:dyDescent="0.2">
      <c r="Q489" s="5"/>
      <c r="R489"/>
    </row>
    <row r="490" spans="17:18" x14ac:dyDescent="0.2">
      <c r="Q490" s="5"/>
      <c r="R490"/>
    </row>
    <row r="491" spans="17:18" x14ac:dyDescent="0.2">
      <c r="Q491" s="5"/>
      <c r="R491"/>
    </row>
    <row r="492" spans="17:18" x14ac:dyDescent="0.2">
      <c r="Q492" s="5"/>
      <c r="R492"/>
    </row>
    <row r="493" spans="17:18" x14ac:dyDescent="0.2">
      <c r="Q493" s="5"/>
      <c r="R493"/>
    </row>
    <row r="494" spans="17:18" x14ac:dyDescent="0.2">
      <c r="Q494" s="5"/>
      <c r="R494"/>
    </row>
    <row r="495" spans="17:18" x14ac:dyDescent="0.2">
      <c r="Q495" s="5"/>
      <c r="R495"/>
    </row>
    <row r="496" spans="17:18" x14ac:dyDescent="0.2">
      <c r="Q496" s="5"/>
      <c r="R496"/>
    </row>
    <row r="497" spans="17:18" x14ac:dyDescent="0.2">
      <c r="Q497" s="5"/>
      <c r="R497"/>
    </row>
    <row r="498" spans="17:18" x14ac:dyDescent="0.2">
      <c r="Q498" s="5"/>
      <c r="R498"/>
    </row>
    <row r="499" spans="17:18" x14ac:dyDescent="0.2">
      <c r="Q499" s="5"/>
      <c r="R499"/>
    </row>
    <row r="500" spans="17:18" x14ac:dyDescent="0.2">
      <c r="Q500" s="5"/>
      <c r="R500"/>
    </row>
    <row r="501" spans="17:18" x14ac:dyDescent="0.2">
      <c r="Q501" s="5"/>
      <c r="R501"/>
    </row>
    <row r="502" spans="17:18" x14ac:dyDescent="0.2">
      <c r="Q502" s="5"/>
      <c r="R502"/>
    </row>
    <row r="503" spans="17:18" x14ac:dyDescent="0.2">
      <c r="Q503" s="5"/>
      <c r="R503"/>
    </row>
    <row r="504" spans="17:18" x14ac:dyDescent="0.2">
      <c r="Q504" s="5"/>
      <c r="R504"/>
    </row>
    <row r="505" spans="17:18" x14ac:dyDescent="0.2">
      <c r="Q505" s="5"/>
      <c r="R505"/>
    </row>
    <row r="506" spans="17:18" x14ac:dyDescent="0.2">
      <c r="Q506" s="5"/>
      <c r="R506"/>
    </row>
    <row r="507" spans="17:18" x14ac:dyDescent="0.2">
      <c r="Q507" s="5"/>
      <c r="R507"/>
    </row>
    <row r="508" spans="17:18" x14ac:dyDescent="0.2">
      <c r="Q508" s="5"/>
      <c r="R508"/>
    </row>
    <row r="509" spans="17:18" x14ac:dyDescent="0.2">
      <c r="Q509" s="5"/>
      <c r="R509"/>
    </row>
    <row r="510" spans="17:18" x14ac:dyDescent="0.2">
      <c r="Q510" s="5"/>
      <c r="R510"/>
    </row>
    <row r="511" spans="17:18" x14ac:dyDescent="0.2">
      <c r="Q511" s="5"/>
      <c r="R511"/>
    </row>
    <row r="512" spans="17:18" x14ac:dyDescent="0.2">
      <c r="Q512" s="5"/>
      <c r="R512"/>
    </row>
    <row r="513" spans="17:18" x14ac:dyDescent="0.2">
      <c r="Q513" s="5"/>
      <c r="R513"/>
    </row>
    <row r="514" spans="17:18" x14ac:dyDescent="0.2">
      <c r="Q514" s="5"/>
      <c r="R514"/>
    </row>
    <row r="515" spans="17:18" x14ac:dyDescent="0.2">
      <c r="Q515" s="5"/>
      <c r="R515"/>
    </row>
    <row r="516" spans="17:18" x14ac:dyDescent="0.2">
      <c r="Q516" s="5"/>
      <c r="R516"/>
    </row>
    <row r="517" spans="17:18" x14ac:dyDescent="0.2">
      <c r="Q517" s="5"/>
      <c r="R517"/>
    </row>
    <row r="518" spans="17:18" x14ac:dyDescent="0.2">
      <c r="Q518" s="5"/>
      <c r="R518"/>
    </row>
    <row r="519" spans="17:18" x14ac:dyDescent="0.2">
      <c r="Q519" s="5"/>
      <c r="R519"/>
    </row>
    <row r="520" spans="17:18" x14ac:dyDescent="0.2">
      <c r="Q520" s="5"/>
      <c r="R520"/>
    </row>
    <row r="521" spans="17:18" x14ac:dyDescent="0.2">
      <c r="Q521" s="5"/>
      <c r="R521"/>
    </row>
    <row r="522" spans="17:18" x14ac:dyDescent="0.2">
      <c r="Q522" s="5"/>
      <c r="R522"/>
    </row>
    <row r="523" spans="17:18" x14ac:dyDescent="0.2">
      <c r="Q523" s="5"/>
      <c r="R523"/>
    </row>
    <row r="524" spans="17:18" x14ac:dyDescent="0.2">
      <c r="Q524" s="5"/>
      <c r="R524"/>
    </row>
    <row r="525" spans="17:18" x14ac:dyDescent="0.2">
      <c r="Q525" s="5"/>
      <c r="R525"/>
    </row>
    <row r="526" spans="17:18" x14ac:dyDescent="0.2">
      <c r="Q526" s="5"/>
      <c r="R526"/>
    </row>
    <row r="527" spans="17:18" x14ac:dyDescent="0.2">
      <c r="Q527" s="5"/>
      <c r="R527"/>
    </row>
    <row r="528" spans="17:18" x14ac:dyDescent="0.2">
      <c r="Q528" s="5"/>
      <c r="R528"/>
    </row>
    <row r="529" spans="17:18" x14ac:dyDescent="0.2">
      <c r="Q529" s="5"/>
      <c r="R529"/>
    </row>
    <row r="530" spans="17:18" x14ac:dyDescent="0.2">
      <c r="Q530" s="5"/>
      <c r="R530"/>
    </row>
    <row r="531" spans="17:18" x14ac:dyDescent="0.2">
      <c r="Q531" s="5"/>
      <c r="R531"/>
    </row>
    <row r="532" spans="17:18" x14ac:dyDescent="0.2">
      <c r="Q532" s="5"/>
      <c r="R532"/>
    </row>
    <row r="533" spans="17:18" x14ac:dyDescent="0.2">
      <c r="Q533" s="5"/>
      <c r="R533"/>
    </row>
    <row r="534" spans="17:18" x14ac:dyDescent="0.2">
      <c r="Q534" s="5"/>
      <c r="R534"/>
    </row>
    <row r="535" spans="17:18" x14ac:dyDescent="0.2">
      <c r="Q535" s="5"/>
      <c r="R535"/>
    </row>
    <row r="536" spans="17:18" x14ac:dyDescent="0.2">
      <c r="Q536" s="5"/>
      <c r="R536"/>
    </row>
    <row r="537" spans="17:18" x14ac:dyDescent="0.2">
      <c r="Q537" s="5"/>
      <c r="R537"/>
    </row>
    <row r="538" spans="17:18" x14ac:dyDescent="0.2">
      <c r="Q538" s="5"/>
      <c r="R538"/>
    </row>
    <row r="539" spans="17:18" x14ac:dyDescent="0.2">
      <c r="Q539" s="5"/>
      <c r="R539"/>
    </row>
    <row r="540" spans="17:18" x14ac:dyDescent="0.2">
      <c r="Q540" s="5"/>
      <c r="R540"/>
    </row>
    <row r="541" spans="17:18" x14ac:dyDescent="0.2">
      <c r="Q541" s="5"/>
      <c r="R541"/>
    </row>
    <row r="542" spans="17:18" x14ac:dyDescent="0.2">
      <c r="Q542" s="5"/>
      <c r="R542"/>
    </row>
    <row r="543" spans="17:18" x14ac:dyDescent="0.2">
      <c r="Q543" s="5"/>
      <c r="R543"/>
    </row>
    <row r="544" spans="17:18" x14ac:dyDescent="0.2">
      <c r="Q544" s="5"/>
      <c r="R544"/>
    </row>
    <row r="545" spans="17:18" x14ac:dyDescent="0.2">
      <c r="Q545" s="5"/>
      <c r="R545"/>
    </row>
    <row r="546" spans="17:18" x14ac:dyDescent="0.2">
      <c r="Q546" s="5"/>
      <c r="R546"/>
    </row>
    <row r="547" spans="17:18" x14ac:dyDescent="0.2">
      <c r="Q547" s="5"/>
      <c r="R547"/>
    </row>
    <row r="548" spans="17:18" x14ac:dyDescent="0.2">
      <c r="Q548" s="5"/>
      <c r="R548"/>
    </row>
    <row r="549" spans="17:18" x14ac:dyDescent="0.2">
      <c r="Q549" s="5"/>
      <c r="R549"/>
    </row>
    <row r="550" spans="17:18" x14ac:dyDescent="0.2">
      <c r="Q550" s="5"/>
      <c r="R550"/>
    </row>
    <row r="551" spans="17:18" x14ac:dyDescent="0.2">
      <c r="Q551" s="5"/>
      <c r="R551"/>
    </row>
    <row r="552" spans="17:18" x14ac:dyDescent="0.2">
      <c r="Q552" s="5"/>
      <c r="R552"/>
    </row>
    <row r="553" spans="17:18" x14ac:dyDescent="0.2">
      <c r="Q553" s="5"/>
      <c r="R553"/>
    </row>
    <row r="554" spans="17:18" x14ac:dyDescent="0.2">
      <c r="Q554" s="5"/>
      <c r="R554"/>
    </row>
    <row r="555" spans="17:18" x14ac:dyDescent="0.2">
      <c r="Q555" s="5"/>
      <c r="R555"/>
    </row>
    <row r="556" spans="17:18" x14ac:dyDescent="0.2">
      <c r="Q556" s="5"/>
      <c r="R556"/>
    </row>
    <row r="557" spans="17:18" x14ac:dyDescent="0.2">
      <c r="Q557" s="5"/>
      <c r="R557"/>
    </row>
    <row r="558" spans="17:18" x14ac:dyDescent="0.2">
      <c r="Q558" s="5"/>
      <c r="R558"/>
    </row>
    <row r="559" spans="17:18" x14ac:dyDescent="0.2">
      <c r="Q559" s="5"/>
      <c r="R559"/>
    </row>
    <row r="560" spans="17:18" x14ac:dyDescent="0.2">
      <c r="Q560" s="5"/>
      <c r="R560"/>
    </row>
    <row r="561" spans="17:18" x14ac:dyDescent="0.2">
      <c r="Q561" s="5"/>
      <c r="R561"/>
    </row>
    <row r="562" spans="17:18" x14ac:dyDescent="0.2">
      <c r="Q562" s="5"/>
      <c r="R562"/>
    </row>
    <row r="563" spans="17:18" x14ac:dyDescent="0.2">
      <c r="Q563" s="5"/>
      <c r="R563"/>
    </row>
    <row r="564" spans="17:18" x14ac:dyDescent="0.2">
      <c r="Q564" s="5"/>
      <c r="R564"/>
    </row>
    <row r="565" spans="17:18" x14ac:dyDescent="0.2">
      <c r="Q565" s="5"/>
      <c r="R565"/>
    </row>
    <row r="566" spans="17:18" x14ac:dyDescent="0.2">
      <c r="Q566" s="5"/>
      <c r="R566"/>
    </row>
    <row r="567" spans="17:18" x14ac:dyDescent="0.2">
      <c r="Q567" s="5"/>
      <c r="R567"/>
    </row>
    <row r="568" spans="17:18" x14ac:dyDescent="0.2">
      <c r="Q568" s="5"/>
      <c r="R568"/>
    </row>
    <row r="569" spans="17:18" x14ac:dyDescent="0.2">
      <c r="Q569" s="5"/>
      <c r="R569"/>
    </row>
    <row r="570" spans="17:18" x14ac:dyDescent="0.2">
      <c r="Q570" s="5"/>
      <c r="R570"/>
    </row>
    <row r="571" spans="17:18" x14ac:dyDescent="0.2">
      <c r="Q571" s="5"/>
      <c r="R571"/>
    </row>
    <row r="572" spans="17:18" x14ac:dyDescent="0.2">
      <c r="Q572" s="5"/>
      <c r="R572"/>
    </row>
    <row r="573" spans="17:18" x14ac:dyDescent="0.2">
      <c r="Q573" s="5"/>
      <c r="R573"/>
    </row>
    <row r="574" spans="17:18" x14ac:dyDescent="0.2">
      <c r="Q574" s="5"/>
      <c r="R574"/>
    </row>
    <row r="575" spans="17:18" x14ac:dyDescent="0.2">
      <c r="Q575" s="5"/>
      <c r="R575"/>
    </row>
    <row r="576" spans="17:18" x14ac:dyDescent="0.2">
      <c r="Q576" s="5"/>
      <c r="R576"/>
    </row>
    <row r="577" spans="17:18" x14ac:dyDescent="0.2">
      <c r="Q577" s="5"/>
      <c r="R577"/>
    </row>
    <row r="578" spans="17:18" x14ac:dyDescent="0.2">
      <c r="Q578" s="5"/>
      <c r="R578"/>
    </row>
    <row r="579" spans="17:18" x14ac:dyDescent="0.2">
      <c r="Q579" s="5"/>
      <c r="R579"/>
    </row>
    <row r="580" spans="17:18" x14ac:dyDescent="0.2">
      <c r="Q580" s="5"/>
      <c r="R580"/>
    </row>
    <row r="581" spans="17:18" x14ac:dyDescent="0.2">
      <c r="Q581" s="5"/>
      <c r="R581"/>
    </row>
    <row r="582" spans="17:18" x14ac:dyDescent="0.2">
      <c r="Q582" s="5"/>
      <c r="R582"/>
    </row>
    <row r="583" spans="17:18" x14ac:dyDescent="0.2">
      <c r="Q583" s="5"/>
      <c r="R583"/>
    </row>
    <row r="584" spans="17:18" x14ac:dyDescent="0.2">
      <c r="Q584" s="5"/>
      <c r="R584"/>
    </row>
    <row r="585" spans="17:18" x14ac:dyDescent="0.2">
      <c r="Q585" s="5"/>
      <c r="R585"/>
    </row>
    <row r="586" spans="17:18" x14ac:dyDescent="0.2">
      <c r="Q586" s="5"/>
      <c r="R586"/>
    </row>
    <row r="587" spans="17:18" x14ac:dyDescent="0.2">
      <c r="Q587" s="5"/>
      <c r="R587"/>
    </row>
    <row r="588" spans="17:18" x14ac:dyDescent="0.2">
      <c r="Q588" s="5"/>
      <c r="R588"/>
    </row>
    <row r="589" spans="17:18" x14ac:dyDescent="0.2">
      <c r="Q589" s="5"/>
      <c r="R589"/>
    </row>
    <row r="590" spans="17:18" x14ac:dyDescent="0.2">
      <c r="Q590" s="5"/>
      <c r="R590"/>
    </row>
    <row r="591" spans="17:18" x14ac:dyDescent="0.2">
      <c r="Q591" s="5"/>
      <c r="R591"/>
    </row>
    <row r="592" spans="17:18" x14ac:dyDescent="0.2">
      <c r="Q592" s="5"/>
      <c r="R592"/>
    </row>
    <row r="593" spans="17:18" x14ac:dyDescent="0.2">
      <c r="Q593" s="5"/>
      <c r="R593"/>
    </row>
    <row r="594" spans="17:18" x14ac:dyDescent="0.2">
      <c r="Q594" s="5"/>
      <c r="R594"/>
    </row>
    <row r="595" spans="17:18" x14ac:dyDescent="0.2">
      <c r="Q595" s="5"/>
      <c r="R595"/>
    </row>
    <row r="596" spans="17:18" x14ac:dyDescent="0.2">
      <c r="Q596" s="5"/>
      <c r="R596"/>
    </row>
    <row r="597" spans="17:18" x14ac:dyDescent="0.2">
      <c r="Q597" s="5"/>
      <c r="R597"/>
    </row>
    <row r="598" spans="17:18" x14ac:dyDescent="0.2">
      <c r="Q598" s="5"/>
      <c r="R598"/>
    </row>
    <row r="599" spans="17:18" x14ac:dyDescent="0.2">
      <c r="Q599" s="5"/>
      <c r="R599"/>
    </row>
    <row r="600" spans="17:18" x14ac:dyDescent="0.2">
      <c r="Q600" s="5"/>
      <c r="R600"/>
    </row>
    <row r="601" spans="17:18" x14ac:dyDescent="0.2">
      <c r="Q601" s="5"/>
      <c r="R601"/>
    </row>
    <row r="602" spans="17:18" x14ac:dyDescent="0.2">
      <c r="Q602" s="5"/>
      <c r="R602"/>
    </row>
    <row r="603" spans="17:18" x14ac:dyDescent="0.2">
      <c r="Q603" s="5"/>
      <c r="R603"/>
    </row>
    <row r="604" spans="17:18" x14ac:dyDescent="0.2">
      <c r="Q604" s="5"/>
      <c r="R604"/>
    </row>
    <row r="605" spans="17:18" x14ac:dyDescent="0.2">
      <c r="Q605" s="5"/>
      <c r="R605"/>
    </row>
    <row r="606" spans="17:18" x14ac:dyDescent="0.2">
      <c r="Q606" s="5"/>
      <c r="R606"/>
    </row>
    <row r="607" spans="17:18" x14ac:dyDescent="0.2">
      <c r="Q607" s="5"/>
      <c r="R607"/>
    </row>
    <row r="608" spans="17:18" x14ac:dyDescent="0.2">
      <c r="Q608" s="5"/>
      <c r="R608"/>
    </row>
    <row r="609" spans="17:18" x14ac:dyDescent="0.2">
      <c r="Q609" s="5"/>
      <c r="R609"/>
    </row>
    <row r="610" spans="17:18" x14ac:dyDescent="0.2">
      <c r="Q610" s="5"/>
      <c r="R610"/>
    </row>
    <row r="611" spans="17:18" x14ac:dyDescent="0.2">
      <c r="Q611" s="5"/>
      <c r="R611"/>
    </row>
    <row r="612" spans="17:18" x14ac:dyDescent="0.2">
      <c r="Q612" s="5"/>
      <c r="R612"/>
    </row>
    <row r="613" spans="17:18" x14ac:dyDescent="0.2">
      <c r="Q613" s="5"/>
      <c r="R613"/>
    </row>
    <row r="614" spans="17:18" x14ac:dyDescent="0.2">
      <c r="Q614" s="5"/>
      <c r="R614"/>
    </row>
    <row r="615" spans="17:18" x14ac:dyDescent="0.2">
      <c r="Q615" s="5"/>
      <c r="R615"/>
    </row>
    <row r="616" spans="17:18" x14ac:dyDescent="0.2">
      <c r="Q616" s="5"/>
      <c r="R616"/>
    </row>
    <row r="617" spans="17:18" x14ac:dyDescent="0.2">
      <c r="Q617" s="5"/>
      <c r="R617"/>
    </row>
    <row r="618" spans="17:18" x14ac:dyDescent="0.2">
      <c r="Q618" s="5"/>
      <c r="R618"/>
    </row>
    <row r="619" spans="17:18" x14ac:dyDescent="0.2">
      <c r="Q619" s="5"/>
      <c r="R619"/>
    </row>
    <row r="620" spans="17:18" x14ac:dyDescent="0.2">
      <c r="Q620" s="5"/>
      <c r="R620"/>
    </row>
    <row r="621" spans="17:18" x14ac:dyDescent="0.2">
      <c r="Q621" s="5"/>
      <c r="R621"/>
    </row>
    <row r="622" spans="17:18" x14ac:dyDescent="0.2">
      <c r="Q622" s="5"/>
      <c r="R622"/>
    </row>
    <row r="623" spans="17:18" x14ac:dyDescent="0.2">
      <c r="Q623" s="5"/>
      <c r="R623"/>
    </row>
    <row r="624" spans="17:18" x14ac:dyDescent="0.2">
      <c r="Q624" s="5"/>
      <c r="R624"/>
    </row>
    <row r="625" spans="17:18" x14ac:dyDescent="0.2">
      <c r="Q625" s="5"/>
      <c r="R625"/>
    </row>
    <row r="626" spans="17:18" x14ac:dyDescent="0.2">
      <c r="Q626" s="5"/>
      <c r="R626"/>
    </row>
    <row r="627" spans="17:18" x14ac:dyDescent="0.2">
      <c r="Q627" s="5"/>
      <c r="R627"/>
    </row>
    <row r="628" spans="17:18" x14ac:dyDescent="0.2">
      <c r="Q628" s="5"/>
      <c r="R628"/>
    </row>
    <row r="629" spans="17:18" x14ac:dyDescent="0.2">
      <c r="Q629" s="5"/>
      <c r="R629"/>
    </row>
    <row r="630" spans="17:18" x14ac:dyDescent="0.2">
      <c r="Q630" s="5"/>
      <c r="R630"/>
    </row>
    <row r="631" spans="17:18" x14ac:dyDescent="0.2">
      <c r="Q631" s="5"/>
      <c r="R631"/>
    </row>
    <row r="632" spans="17:18" x14ac:dyDescent="0.2">
      <c r="Q632" s="5"/>
      <c r="R632"/>
    </row>
    <row r="633" spans="17:18" x14ac:dyDescent="0.2">
      <c r="Q633" s="5"/>
      <c r="R633"/>
    </row>
    <row r="634" spans="17:18" x14ac:dyDescent="0.2">
      <c r="Q634" s="5"/>
      <c r="R634"/>
    </row>
    <row r="635" spans="17:18" x14ac:dyDescent="0.2">
      <c r="Q635" s="5"/>
      <c r="R635"/>
    </row>
    <row r="636" spans="17:18" x14ac:dyDescent="0.2">
      <c r="Q636" s="5"/>
      <c r="R636"/>
    </row>
    <row r="637" spans="17:18" x14ac:dyDescent="0.2">
      <c r="Q637" s="5"/>
      <c r="R637"/>
    </row>
    <row r="638" spans="17:18" x14ac:dyDescent="0.2">
      <c r="Q638" s="5"/>
      <c r="R638"/>
    </row>
    <row r="639" spans="17:18" x14ac:dyDescent="0.2">
      <c r="Q639" s="5"/>
      <c r="R639"/>
    </row>
    <row r="640" spans="17:18" x14ac:dyDescent="0.2">
      <c r="Q640" s="5"/>
      <c r="R640"/>
    </row>
    <row r="641" spans="17:18" x14ac:dyDescent="0.2">
      <c r="Q641" s="5"/>
      <c r="R641"/>
    </row>
    <row r="642" spans="17:18" x14ac:dyDescent="0.2">
      <c r="Q642" s="5"/>
      <c r="R642"/>
    </row>
    <row r="643" spans="17:18" x14ac:dyDescent="0.2">
      <c r="Q643" s="5"/>
      <c r="R643"/>
    </row>
    <row r="644" spans="17:18" x14ac:dyDescent="0.2">
      <c r="Q644" s="5"/>
      <c r="R644"/>
    </row>
    <row r="645" spans="17:18" x14ac:dyDescent="0.2">
      <c r="Q645" s="5"/>
      <c r="R645"/>
    </row>
    <row r="646" spans="17:18" x14ac:dyDescent="0.2">
      <c r="Q646" s="5"/>
      <c r="R646"/>
    </row>
    <row r="647" spans="17:18" x14ac:dyDescent="0.2">
      <c r="Q647" s="5"/>
      <c r="R647"/>
    </row>
    <row r="648" spans="17:18" x14ac:dyDescent="0.2">
      <c r="Q648" s="5"/>
      <c r="R648"/>
    </row>
    <row r="649" spans="17:18" x14ac:dyDescent="0.2">
      <c r="Q649" s="5"/>
      <c r="R649"/>
    </row>
    <row r="650" spans="17:18" x14ac:dyDescent="0.2">
      <c r="Q650" s="5"/>
      <c r="R650"/>
    </row>
    <row r="651" spans="17:18" x14ac:dyDescent="0.2">
      <c r="Q651" s="5"/>
      <c r="R651"/>
    </row>
    <row r="652" spans="17:18" x14ac:dyDescent="0.2">
      <c r="Q652" s="5"/>
      <c r="R652"/>
    </row>
    <row r="653" spans="17:18" x14ac:dyDescent="0.2">
      <c r="Q653" s="5"/>
      <c r="R653"/>
    </row>
    <row r="654" spans="17:18" x14ac:dyDescent="0.2">
      <c r="Q654" s="5"/>
      <c r="R654"/>
    </row>
    <row r="655" spans="17:18" x14ac:dyDescent="0.2">
      <c r="Q655" s="5"/>
      <c r="R655"/>
    </row>
    <row r="656" spans="17:18" x14ac:dyDescent="0.2">
      <c r="Q656" s="5"/>
      <c r="R656"/>
    </row>
    <row r="657" spans="17:18" x14ac:dyDescent="0.2">
      <c r="Q657" s="5"/>
      <c r="R657"/>
    </row>
    <row r="658" spans="17:18" x14ac:dyDescent="0.2">
      <c r="Q658" s="5"/>
      <c r="R658"/>
    </row>
    <row r="659" spans="17:18" x14ac:dyDescent="0.2">
      <c r="Q659" s="5"/>
      <c r="R659"/>
    </row>
    <row r="660" spans="17:18" x14ac:dyDescent="0.2">
      <c r="Q660" s="5"/>
      <c r="R660"/>
    </row>
    <row r="661" spans="17:18" x14ac:dyDescent="0.2">
      <c r="Q661" s="5"/>
      <c r="R661"/>
    </row>
    <row r="662" spans="17:18" x14ac:dyDescent="0.2">
      <c r="Q662" s="5"/>
      <c r="R662"/>
    </row>
    <row r="663" spans="17:18" x14ac:dyDescent="0.2">
      <c r="Q663" s="5"/>
      <c r="R663"/>
    </row>
    <row r="664" spans="17:18" x14ac:dyDescent="0.2">
      <c r="Q664" s="5"/>
      <c r="R664"/>
    </row>
    <row r="665" spans="17:18" x14ac:dyDescent="0.2">
      <c r="Q665" s="5"/>
      <c r="R665"/>
    </row>
    <row r="666" spans="17:18" x14ac:dyDescent="0.2">
      <c r="Q666" s="5"/>
      <c r="R666"/>
    </row>
    <row r="667" spans="17:18" x14ac:dyDescent="0.2">
      <c r="Q667" s="5"/>
      <c r="R667"/>
    </row>
    <row r="668" spans="17:18" x14ac:dyDescent="0.2">
      <c r="Q668" s="5"/>
      <c r="R668"/>
    </row>
    <row r="669" spans="17:18" x14ac:dyDescent="0.2">
      <c r="Q669" s="5"/>
      <c r="R669"/>
    </row>
    <row r="670" spans="17:18" x14ac:dyDescent="0.2">
      <c r="Q670" s="5"/>
      <c r="R670"/>
    </row>
    <row r="671" spans="17:18" x14ac:dyDescent="0.2">
      <c r="Q671" s="5"/>
      <c r="R671"/>
    </row>
    <row r="672" spans="17:18" x14ac:dyDescent="0.2">
      <c r="Q672" s="5"/>
      <c r="R672"/>
    </row>
    <row r="673" spans="17:18" x14ac:dyDescent="0.2">
      <c r="Q673" s="5"/>
      <c r="R673"/>
    </row>
    <row r="674" spans="17:18" x14ac:dyDescent="0.2">
      <c r="Q674" s="5"/>
      <c r="R674"/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Olivier Xatart</cp:lastModifiedBy>
  <cp:revision/>
  <dcterms:created xsi:type="dcterms:W3CDTF">2025-08-23T13:40:24Z</dcterms:created>
  <dcterms:modified xsi:type="dcterms:W3CDTF">2025-11-11T16:12:36Z</dcterms:modified>
  <cp:category/>
  <cp:contentStatus/>
</cp:coreProperties>
</file>